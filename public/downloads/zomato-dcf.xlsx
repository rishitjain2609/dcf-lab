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ishitjain/Downloads/"/>
    </mc:Choice>
  </mc:AlternateContent>
  <xr:revisionPtr revIDLastSave="0" documentId="13_ncr:1_{E0B2CF7E-5AA7-874A-BBBA-1AD4D519D78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ver" sheetId="1" r:id="rId1"/>
    <sheet name="Inputs" sheetId="2" r:id="rId2"/>
    <sheet name="Historicals" sheetId="3" r:id="rId3"/>
    <sheet name="DCF" sheetId="4" r:id="rId4"/>
    <sheet name="Sensitiv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8" i="5"/>
  <c r="A7" i="5"/>
  <c r="A6" i="5"/>
  <c r="A5" i="5"/>
  <c r="F4" i="5"/>
  <c r="E4" i="5"/>
  <c r="D4" i="5"/>
  <c r="C4" i="5"/>
  <c r="B4" i="5"/>
  <c r="C33" i="4"/>
  <c r="C31" i="4"/>
  <c r="C29" i="4"/>
  <c r="M20" i="4"/>
  <c r="L20" i="4"/>
  <c r="K20" i="4"/>
  <c r="J20" i="4"/>
  <c r="I20" i="4"/>
  <c r="H20" i="4"/>
  <c r="G20" i="4"/>
  <c r="F20" i="4"/>
  <c r="E20" i="4"/>
  <c r="D20" i="4"/>
  <c r="D10" i="3"/>
  <c r="D8" i="3"/>
  <c r="D7" i="3"/>
  <c r="D6" i="3"/>
  <c r="D5" i="3"/>
  <c r="B26" i="2"/>
  <c r="B20" i="2"/>
  <c r="B4" i="2"/>
  <c r="C8" i="4" s="1"/>
  <c r="B5" i="1"/>
  <c r="M7" i="4" l="1"/>
  <c r="L7" i="4"/>
  <c r="K7" i="4"/>
  <c r="J7" i="4"/>
  <c r="I7" i="4"/>
  <c r="H7" i="4"/>
  <c r="G7" i="4"/>
  <c r="F7" i="4"/>
  <c r="E7" i="4"/>
  <c r="D7" i="4"/>
  <c r="D8" i="4" s="1"/>
  <c r="M9" i="4"/>
  <c r="L9" i="4"/>
  <c r="K9" i="4"/>
  <c r="J9" i="4"/>
  <c r="I9" i="4"/>
  <c r="H9" i="4"/>
  <c r="G9" i="4"/>
  <c r="F9" i="4"/>
  <c r="E9" i="4"/>
  <c r="D9" i="4"/>
  <c r="E8" i="4" l="1"/>
  <c r="D11" i="4"/>
  <c r="D15" i="4" s="1"/>
  <c r="D16" i="4"/>
  <c r="D17" i="4"/>
  <c r="D10" i="4"/>
  <c r="E17" i="4" l="1"/>
  <c r="E16" i="4"/>
  <c r="E11" i="4"/>
  <c r="E15" i="4" s="1"/>
  <c r="E10" i="4"/>
  <c r="E12" i="4" s="1"/>
  <c r="F8" i="4"/>
  <c r="D12" i="4"/>
  <c r="E13" i="4" l="1"/>
  <c r="E14" i="4"/>
  <c r="E18" i="4" s="1"/>
  <c r="E21" i="4" s="1"/>
  <c r="G8" i="4"/>
  <c r="F17" i="4"/>
  <c r="F10" i="4"/>
  <c r="F11" i="4"/>
  <c r="F15" i="4" s="1"/>
  <c r="F16" i="4"/>
  <c r="D13" i="4"/>
  <c r="D14" i="4"/>
  <c r="D18" i="4" s="1"/>
  <c r="H8" i="4" l="1"/>
  <c r="G10" i="4"/>
  <c r="G11" i="4"/>
  <c r="G15" i="4" s="1"/>
  <c r="G16" i="4"/>
  <c r="G17" i="4"/>
  <c r="D21" i="4"/>
  <c r="F12" i="4"/>
  <c r="I8" i="4" l="1"/>
  <c r="H10" i="4"/>
  <c r="H11" i="4"/>
  <c r="H15" i="4" s="1"/>
  <c r="H16" i="4"/>
  <c r="H17" i="4"/>
  <c r="F13" i="4"/>
  <c r="F14" i="4" s="1"/>
  <c r="F18" i="4" s="1"/>
  <c r="G12" i="4"/>
  <c r="J8" i="4" l="1"/>
  <c r="I10" i="4"/>
  <c r="I11" i="4"/>
  <c r="I15" i="4" s="1"/>
  <c r="I16" i="4"/>
  <c r="I17" i="4"/>
  <c r="F21" i="4"/>
  <c r="G13" i="4"/>
  <c r="G14" i="4" s="1"/>
  <c r="G18" i="4" s="1"/>
  <c r="H12" i="4"/>
  <c r="K8" i="4" l="1"/>
  <c r="J11" i="4"/>
  <c r="J15" i="4" s="1"/>
  <c r="J10" i="4"/>
  <c r="J12" i="4" s="1"/>
  <c r="J16" i="4"/>
  <c r="J17" i="4"/>
  <c r="H13" i="4"/>
  <c r="H14" i="4" s="1"/>
  <c r="H18" i="4" s="1"/>
  <c r="I12" i="4"/>
  <c r="G21" i="4"/>
  <c r="L8" i="4" l="1"/>
  <c r="K10" i="4"/>
  <c r="K11" i="4"/>
  <c r="K15" i="4" s="1"/>
  <c r="K16" i="4"/>
  <c r="K17" i="4"/>
  <c r="J13" i="4"/>
  <c r="J14" i="4"/>
  <c r="J18" i="4" s="1"/>
  <c r="J21" i="4" s="1"/>
  <c r="I13" i="4"/>
  <c r="I14" i="4" s="1"/>
  <c r="I18" i="4" s="1"/>
  <c r="H21" i="4"/>
  <c r="M8" i="4" l="1"/>
  <c r="L10" i="4"/>
  <c r="L11" i="4"/>
  <c r="L15" i="4" s="1"/>
  <c r="L16" i="4"/>
  <c r="L17" i="4"/>
  <c r="K12" i="4"/>
  <c r="I21" i="4"/>
  <c r="M10" i="4" l="1"/>
  <c r="M11" i="4"/>
  <c r="M15" i="4" s="1"/>
  <c r="M16" i="4"/>
  <c r="M17" i="4"/>
  <c r="K13" i="4"/>
  <c r="K14" i="4" s="1"/>
  <c r="K18" i="4" s="1"/>
  <c r="L12" i="4"/>
  <c r="K21" i="4" l="1"/>
  <c r="L13" i="4"/>
  <c r="L14" i="4" s="1"/>
  <c r="L18" i="4" s="1"/>
  <c r="M12" i="4"/>
  <c r="M13" i="4" l="1"/>
  <c r="M14" i="4" s="1"/>
  <c r="M18" i="4" s="1"/>
  <c r="L21" i="4"/>
  <c r="M21" i="4" l="1"/>
  <c r="C24" i="4" s="1"/>
  <c r="C25" i="4"/>
  <c r="C26" i="4" s="1"/>
  <c r="C27" i="4" s="1"/>
  <c r="B6" i="5"/>
  <c r="B5" i="5"/>
  <c r="B7" i="5"/>
  <c r="D6" i="5"/>
  <c r="C8" i="5"/>
  <c r="E7" i="5"/>
  <c r="F9" i="5"/>
  <c r="C5" i="5"/>
  <c r="C7" i="5"/>
  <c r="D8" i="5"/>
  <c r="E9" i="5"/>
  <c r="F7" i="5"/>
  <c r="F5" i="5"/>
  <c r="C6" i="5"/>
  <c r="C9" i="5"/>
  <c r="D9" i="5"/>
  <c r="E6" i="5"/>
  <c r="F8" i="5"/>
  <c r="E5" i="5"/>
  <c r="E8" i="5"/>
  <c r="D5" i="5"/>
  <c r="B9" i="5"/>
  <c r="B8" i="5"/>
  <c r="D7" i="5"/>
  <c r="F6" i="5"/>
  <c r="C28" i="4" l="1"/>
  <c r="C35" i="4" l="1"/>
  <c r="C30" i="4"/>
  <c r="C32" i="4" s="1"/>
  <c r="B4" i="1" l="1"/>
  <c r="B6" i="1" s="1"/>
  <c r="C38" i="4"/>
  <c r="C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DCF Lab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Linked from the DCF sheet's valuation block.</t>
        </r>
      </text>
    </comment>
  </commentList>
</comments>
</file>

<file path=xl/sharedStrings.xml><?xml version="1.0" encoding="utf-8"?>
<sst xmlns="http://schemas.openxmlformats.org/spreadsheetml/2006/main" count="121" uniqueCount="112">
  <si>
    <t>Zomato Ltd (Eternal Limited) (NSE: ETERNAL): DCF model</t>
  </si>
  <si>
    <t>Implied value per share</t>
  </si>
  <si>
    <t>Share price at publish</t>
  </si>
  <si>
    <t>Price vs implied value</t>
  </si>
  <si>
    <t>How the workbook is built</t>
  </si>
  <si>
    <t>Inputs: every assumption in one place, with its source. Change a blue cell and the whole model updates.</t>
  </si>
  <si>
    <t>Historicals: reported revenue and the growth rate behind the forecast.</t>
  </si>
  <si>
    <t>DCF: 10-year forecast from revenue down to unlevered free cash flow, discounted at WACC, plus a Gordon growth terminal value, then the bridge from enterprise value to value per share.</t>
  </si>
  <si>
    <t>Sensitivity: implied value per share across a range of WACC and terminal growth rates.</t>
  </si>
  <si>
    <t>Colour key</t>
  </si>
  <si>
    <t>Blue text: hardcoded input you can change</t>
  </si>
  <si>
    <t>Black text: formula</t>
  </si>
  <si>
    <t>Green text: linked from another sheet</t>
  </si>
  <si>
    <t>Yellow fill: key assumption or headline result</t>
  </si>
  <si>
    <t>Sources</t>
  </si>
  <si>
    <t>Revenue FY21-FY25 and D&amp;A: Eternal Limited FY25 annual report (year ended March 31, 2025), via screener.in.</t>
  </si>
  <si>
    <t>Cash balance ₹18,824 cr at March 31, 2025: Eternal Q4 FY25 shareholder letter. Total debt ₹2,045 cr: stockanalysis.com.</t>
  </si>
  <si>
    <t>Diluted shares: FY25 net profit divided by diluted EPS. Share price: close of Oct 19, 2026, screener.in.</t>
  </si>
  <si>
    <t>Growth and margin path, capex %, WACC and terminal growth: this model's own estimates.</t>
  </si>
  <si>
    <t>Zomato Ltd (Eternal Limited) DCF: inputs</t>
  </si>
  <si>
    <t>Base year revenue</t>
  </si>
  <si>
    <t>Assumption</t>
  </si>
  <si>
    <t>Value</t>
  </si>
  <si>
    <t>Revenue growth, year 1</t>
  </si>
  <si>
    <t>Model estimate. Year 1 growth; slows in equal steps to the final-year rate.</t>
  </si>
  <si>
    <t>Revenue growth, final year</t>
  </si>
  <si>
    <t>Model estimate. Growth in the last forecast year.</t>
  </si>
  <si>
    <t>EBITDA margin, year 1</t>
  </si>
  <si>
    <t>Model estimate, a little above FY25's 3-5% as the business scales.</t>
  </si>
  <si>
    <t>EBITDA margin, final year</t>
  </si>
  <si>
    <t>Model estimate for a mature food delivery and quick commerce business.</t>
  </si>
  <si>
    <t>D&amp;A, % of revenue</t>
  </si>
  <si>
    <t>FY25 D&amp;A over revenue, FY25 annual report.</t>
  </si>
  <si>
    <t>Capex, % of revenue</t>
  </si>
  <si>
    <t>Model estimate.</t>
  </si>
  <si>
    <t>Increase in working capital, % of revenue increase</t>
  </si>
  <si>
    <t>Model estimate: working capital absorbs 2% of each year's revenue increase.</t>
  </si>
  <si>
    <t>Tax rate</t>
  </si>
  <si>
    <t>Indian corporate tax rate used in the model.</t>
  </si>
  <si>
    <t>WACC (discount rate)</t>
  </si>
  <si>
    <t>Equals the cost of equity from the CAPM check below; Eternal has almost no debt.</t>
  </si>
  <si>
    <t>Terminal growth rate</t>
  </si>
  <si>
    <t>Model estimate, roughly long-run Indian nominal GDP growth.</t>
  </si>
  <si>
    <t>Net debt (negative = net cash)</t>
  </si>
  <si>
    <t>Negative means net cash: ₹2,045 cr debt minus ₹18,824 cr cash balance.</t>
  </si>
  <si>
    <t>Diluted shares</t>
  </si>
  <si>
    <t>FY25 net profit divided by diluted EPS.</t>
  </si>
  <si>
    <t>Close of Oct 19, 2026, screener.in.</t>
  </si>
  <si>
    <t>Forecast years</t>
  </si>
  <si>
    <t>Counted from the DCF sheet's year row.</t>
  </si>
  <si>
    <t>WACC cross-check (CAPM)</t>
  </si>
  <si>
    <t>Note</t>
  </si>
  <si>
    <t>Risk-free rate (10-yr G-sec)</t>
  </si>
  <si>
    <t>Approximate 10-year Indian government bond yield.</t>
  </si>
  <si>
    <t>Beta</t>
  </si>
  <si>
    <t>Equity risk premium</t>
  </si>
  <si>
    <t>Model estimate for India.</t>
  </si>
  <si>
    <t>Cost of equity = Rf + Beta x ERP</t>
  </si>
  <si>
    <t>Compare with the WACC input above.</t>
  </si>
  <si>
    <t>Zomato Ltd (Eternal Limited): revenue history</t>
  </si>
  <si>
    <t>₹ crore</t>
  </si>
  <si>
    <t>Fiscal year</t>
  </si>
  <si>
    <t>Revenue</t>
  </si>
  <si>
    <t>Growth vs prior year</t>
  </si>
  <si>
    <t>FY21</t>
  </si>
  <si>
    <t>FY22</t>
  </si>
  <si>
    <t>FY23</t>
  </si>
  <si>
    <t>FY24</t>
  </si>
  <si>
    <t>FY25</t>
  </si>
  <si>
    <t>4-year revenue CAGR</t>
  </si>
  <si>
    <t>Zomato Ltd (Eternal Limited): discounted cash flow</t>
  </si>
  <si>
    <t>Line 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</si>
  <si>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</si>
  <si>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</si>
  <si>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</si>
  <si>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</si>
  <si>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</si>
  <si>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</si>
  <si>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</si>
  <si>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</si>
  <si>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</si>
  <si>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</si>
  <si>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(t)</t>
  </si>
  <si>
    <t>Revenue growth</t>
  </si>
  <si>
    <t>EBITDA margin</t>
  </si>
  <si>
    <t>EBITDA</t>
  </si>
  <si>
    <t>Less D&amp;A</t>
  </si>
  <si>
    <t>EBIT</t>
  </si>
  <si>
    <t>Less tax on EBIT</t>
  </si>
  <si>
    <t>NOPAT</t>
  </si>
  <si>
    <t>Plus D&amp;A</t>
  </si>
  <si>
    <t>Less capex</t>
  </si>
  <si>
    <t>Less increase in working capital</t>
  </si>
  <si>
    <t>Unlevered free cash flow</t>
  </si>
  <si>
    <t>Discount factor = 1 / (1 + WACC)^t</t>
  </si>
  <si>
    <t>Present value of UFCF</t>
  </si>
  <si>
    <t>Valuation</t>
  </si>
  <si>
    <t>Sum of PV of UFCF</t>
  </si>
  <si>
    <t>Final-year UFCF</t>
  </si>
  <si>
    <t>Terminal value = UFCF x (1 + g) / (WACC - g)</t>
  </si>
  <si>
    <t>PV of terminal value</t>
  </si>
  <si>
    <t>Enterprise value</t>
  </si>
  <si>
    <t>Less net debt (plus net cash)</t>
  </si>
  <si>
    <t>Equity value</t>
  </si>
  <si>
    <t>Diluted shares (crore)</t>
  </si>
  <si>
    <t>Terminal value share of EV</t>
  </si>
  <si>
    <t>Check: implied value published on DCF Lab</t>
  </si>
  <si>
    <t>Difference (rounding only)</t>
  </si>
  <si>
    <t>Zomato Ltd (Eternal Limited): implied value per share</t>
  </si>
  <si>
    <t>WACC \ g</t>
  </si>
  <si>
    <t>FY25 revenue</t>
  </si>
  <si>
    <t xml:space="preserve">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</si>
</sst>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%;\(0.0%\);&quot;-&quot;"/>
    <numFmt numFmtId="166" formatCode="#,##0.0"/>
    <numFmt numFmtId="167" formatCode="&quot;₹&quot;0.00"/>
    <numFmt numFmtId="168" formatCode="0.0000"/>
    <numFmt numFmtId="169" formatCode="0.00;\(0.00\);&quot;-&quot;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i/>
      <sz val="10"/>
      <color rgb="FF555555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i/>
      <sz val="10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008000"/>
      <name val="Arial"/>
      <family val="2"/>
    </font>
    <font>
      <sz val="10"/>
      <color rgb="FF555555"/>
      <name val="Arial"/>
      <family val="2"/>
    </font>
    <font>
      <sz val="10"/>
      <color theme="1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33621"/>
      </patternFill>
    </fill>
    <fill>
      <patternFill patternType="solid">
        <fgColor rgb="FFFFFF00"/>
      </patternFill>
    </fill>
    <fill>
      <patternFill patternType="solid">
        <fgColor rgb="FFEDEDE6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10" fillId="0" borderId="0" xfId="0" applyFont="1"/>
    <xf numFmtId="167" fontId="11" fillId="0" borderId="0" xfId="0" applyNumberFormat="1" applyFont="1"/>
    <xf numFmtId="0" fontId="6" fillId="0" borderId="0" xfId="0" applyFont="1"/>
    <xf numFmtId="167" fontId="4" fillId="0" borderId="0" xfId="0" applyNumberFormat="1" applyFont="1"/>
    <xf numFmtId="165" fontId="0" fillId="0" borderId="0" xfId="0" applyNumberFormat="1"/>
    <xf numFmtId="0" fontId="3" fillId="0" borderId="0" xfId="0" applyFont="1"/>
    <xf numFmtId="0" fontId="7" fillId="0" borderId="0" xfId="0" applyFont="1"/>
    <xf numFmtId="0" fontId="4" fillId="0" borderId="0" xfId="0" applyFont="1"/>
    <xf numFmtId="0" fontId="6" fillId="3" borderId="0" xfId="0" applyFont="1" applyFill="1"/>
    <xf numFmtId="164" fontId="4" fillId="0" borderId="0" xfId="0" applyNumberFormat="1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165" fontId="7" fillId="3" borderId="0" xfId="0" applyNumberFormat="1" applyFont="1" applyFill="1"/>
    <xf numFmtId="165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167" fontId="7" fillId="0" borderId="0" xfId="0" applyNumberFormat="1" applyFont="1"/>
    <xf numFmtId="2" fontId="7" fillId="0" borderId="0" xfId="0" applyNumberFormat="1" applyFont="1"/>
    <xf numFmtId="165" fontId="3" fillId="0" borderId="0" xfId="0" applyNumberFormat="1" applyFont="1"/>
    <xf numFmtId="165" fontId="6" fillId="0" borderId="0" xfId="0" applyNumberFormat="1" applyFont="1"/>
    <xf numFmtId="0" fontId="5" fillId="2" borderId="0" xfId="0" applyFont="1" applyFill="1"/>
    <xf numFmtId="1" fontId="7" fillId="0" borderId="0" xfId="0" applyNumberFormat="1" applyFont="1"/>
    <xf numFmtId="164" fontId="3" fillId="0" borderId="0" xfId="0" applyNumberFormat="1" applyFont="1"/>
    <xf numFmtId="164" fontId="6" fillId="0" borderId="0" xfId="0" applyNumberFormat="1" applyFont="1"/>
    <xf numFmtId="0" fontId="3" fillId="0" borderId="1" xfId="0" applyFont="1" applyBorder="1"/>
    <xf numFmtId="0" fontId="0" fillId="0" borderId="1" xfId="0" applyBorder="1"/>
    <xf numFmtId="164" fontId="3" fillId="0" borderId="1" xfId="0" applyNumberFormat="1" applyFont="1" applyBorder="1"/>
    <xf numFmtId="168" fontId="6" fillId="0" borderId="0" xfId="0" applyNumberFormat="1" applyFont="1"/>
    <xf numFmtId="166" fontId="4" fillId="0" borderId="0" xfId="0" applyNumberFormat="1" applyFont="1"/>
    <xf numFmtId="167" fontId="3" fillId="3" borderId="0" xfId="0" applyNumberFormat="1" applyFont="1" applyFill="1"/>
    <xf numFmtId="0" fontId="8" fillId="0" borderId="0" xfId="0" applyFont="1"/>
    <xf numFmtId="167" fontId="9" fillId="0" borderId="0" xfId="0" applyNumberFormat="1" applyFont="1"/>
    <xf numFmtId="169" fontId="8" fillId="0" borderId="0" xfId="0" applyNumberFormat="1" applyFont="1"/>
    <xf numFmtId="165" fontId="5" fillId="2" borderId="0" xfId="0" applyNumberFormat="1" applyFont="1" applyFill="1"/>
    <xf numFmtId="165" fontId="3" fillId="4" borderId="0" xfId="0" applyNumberFormat="1" applyFont="1" applyFill="1"/>
    <xf numFmtId="167" fontId="6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35" sqref="A35"/>
    </sheetView>
  </sheetViews>
  <sheetFormatPr baseColWidth="10" defaultColWidth="8.83203125" defaultRowHeight="15" x14ac:dyDescent="0.2"/>
  <cols>
    <col min="1" max="1" width="147" customWidth="1"/>
    <col min="2" max="2" width="14" customWidth="1"/>
  </cols>
  <sheetData>
    <row r="1" spans="1:2" ht="18" x14ac:dyDescent="0.2">
      <c r="A1" s="1" t="s">
        <v>0</v>
      </c>
    </row>
    <row r="2" spans="1:2" x14ac:dyDescent="0.2">
      <c r="A2" s="2"/>
    </row>
    <row r="4" spans="1:2" ht="16" x14ac:dyDescent="0.2">
      <c r="A4" s="3" t="s">
        <v>1</v>
      </c>
      <c r="B4" s="4">
        <f>DCF!$C$32</f>
        <v>105.15346719559678</v>
      </c>
    </row>
    <row r="5" spans="1:2" x14ac:dyDescent="0.2">
      <c r="A5" s="5" t="s">
        <v>2</v>
      </c>
      <c r="B5" s="6">
        <f>Inputs!$B$18</f>
        <v>322.55</v>
      </c>
    </row>
    <row r="6" spans="1:2" x14ac:dyDescent="0.2">
      <c r="A6" s="5" t="s">
        <v>3</v>
      </c>
      <c r="B6" s="7">
        <f>B5/B4-1</f>
        <v>2.0674214422242709</v>
      </c>
    </row>
    <row r="8" spans="1:2" x14ac:dyDescent="0.2">
      <c r="A8" s="8" t="s">
        <v>4</v>
      </c>
    </row>
    <row r="9" spans="1:2" x14ac:dyDescent="0.2">
      <c r="A9" s="5" t="s">
        <v>5</v>
      </c>
    </row>
    <row r="10" spans="1:2" x14ac:dyDescent="0.2">
      <c r="A10" s="5" t="s">
        <v>6</v>
      </c>
    </row>
    <row r="11" spans="1:2" x14ac:dyDescent="0.2">
      <c r="A11" s="5" t="s">
        <v>7</v>
      </c>
    </row>
    <row r="12" spans="1:2" x14ac:dyDescent="0.2">
      <c r="A12" s="5" t="s">
        <v>8</v>
      </c>
    </row>
    <row r="14" spans="1:2" x14ac:dyDescent="0.2">
      <c r="A14" s="8" t="s">
        <v>9</v>
      </c>
    </row>
    <row r="15" spans="1:2" x14ac:dyDescent="0.2">
      <c r="A15" s="9" t="s">
        <v>10</v>
      </c>
    </row>
    <row r="16" spans="1:2" x14ac:dyDescent="0.2">
      <c r="A16" s="5" t="s">
        <v>11</v>
      </c>
    </row>
    <row r="17" spans="1:1" x14ac:dyDescent="0.2">
      <c r="A17" s="10" t="s">
        <v>12</v>
      </c>
    </row>
    <row r="18" spans="1:1" x14ac:dyDescent="0.2">
      <c r="A18" s="11" t="s">
        <v>13</v>
      </c>
    </row>
    <row r="20" spans="1:1" x14ac:dyDescent="0.2">
      <c r="A20" s="8" t="s">
        <v>14</v>
      </c>
    </row>
    <row r="21" spans="1:1" x14ac:dyDescent="0.2">
      <c r="A21" s="5" t="s">
        <v>15</v>
      </c>
    </row>
    <row r="22" spans="1:1" x14ac:dyDescent="0.2">
      <c r="A22" s="5" t="s">
        <v>16</v>
      </c>
    </row>
    <row r="23" spans="1:1" x14ac:dyDescent="0.2">
      <c r="A23" s="5" t="s">
        <v>17</v>
      </c>
    </row>
    <row r="24" spans="1:1" x14ac:dyDescent="0.2">
      <c r="A24" s="5" t="s">
        <v>18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90" customWidth="1"/>
  </cols>
  <sheetData>
    <row r="1" spans="1:3" ht="18" x14ac:dyDescent="0.2">
      <c r="A1" s="1" t="s">
        <v>19</v>
      </c>
    </row>
    <row r="2" spans="1:3" x14ac:dyDescent="0.2">
      <c r="A2" s="2"/>
    </row>
    <row r="4" spans="1:3" x14ac:dyDescent="0.2">
      <c r="A4" s="8" t="s">
        <v>20</v>
      </c>
      <c r="B4" s="12">
        <f>Historicals!C8</f>
        <v>20243</v>
      </c>
      <c r="C4" s="39" t="s">
        <v>110</v>
      </c>
    </row>
    <row r="5" spans="1:3" x14ac:dyDescent="0.2">
      <c r="A5" s="13" t="s">
        <v>21</v>
      </c>
      <c r="B5" s="14" t="s">
        <v>22</v>
      </c>
      <c r="C5" s="14" t="s">
        <v>111</v>
      </c>
    </row>
    <row r="6" spans="1:3" x14ac:dyDescent="0.2">
      <c r="A6" s="5" t="s">
        <v>23</v>
      </c>
      <c r="B6" s="15">
        <v>0.3</v>
      </c>
      <c r="C6" s="39" t="s">
        <v>24</v>
      </c>
    </row>
    <row r="7" spans="1:3" x14ac:dyDescent="0.2">
      <c r="A7" s="5" t="s">
        <v>25</v>
      </c>
      <c r="B7" s="15">
        <v>0.08</v>
      </c>
      <c r="C7" s="39" t="s">
        <v>26</v>
      </c>
    </row>
    <row r="8" spans="1:3" x14ac:dyDescent="0.2">
      <c r="A8" s="5" t="s">
        <v>27</v>
      </c>
      <c r="B8" s="15">
        <v>0.06</v>
      </c>
      <c r="C8" s="39" t="s">
        <v>28</v>
      </c>
    </row>
    <row r="9" spans="1:3" x14ac:dyDescent="0.2">
      <c r="A9" s="5" t="s">
        <v>29</v>
      </c>
      <c r="B9" s="15">
        <v>0.2</v>
      </c>
      <c r="C9" s="39" t="s">
        <v>30</v>
      </c>
    </row>
    <row r="10" spans="1:3" x14ac:dyDescent="0.2">
      <c r="A10" s="5" t="s">
        <v>31</v>
      </c>
      <c r="B10" s="16">
        <v>4.2599999999999999E-2</v>
      </c>
      <c r="C10" s="39" t="s">
        <v>32</v>
      </c>
    </row>
    <row r="11" spans="1:3" x14ac:dyDescent="0.2">
      <c r="A11" s="5" t="s">
        <v>33</v>
      </c>
      <c r="B11" s="16">
        <v>4.5999999999999999E-2</v>
      </c>
      <c r="C11" s="39" t="s">
        <v>34</v>
      </c>
    </row>
    <row r="12" spans="1:3" x14ac:dyDescent="0.2">
      <c r="A12" s="5" t="s">
        <v>35</v>
      </c>
      <c r="B12" s="16">
        <v>0.02</v>
      </c>
      <c r="C12" s="39" t="s">
        <v>36</v>
      </c>
    </row>
    <row r="13" spans="1:3" x14ac:dyDescent="0.2">
      <c r="A13" s="5" t="s">
        <v>37</v>
      </c>
      <c r="B13" s="16">
        <v>0.24399999999999999</v>
      </c>
      <c r="C13" s="39" t="s">
        <v>38</v>
      </c>
    </row>
    <row r="14" spans="1:3" x14ac:dyDescent="0.2">
      <c r="A14" s="5" t="s">
        <v>39</v>
      </c>
      <c r="B14" s="15">
        <v>0.12</v>
      </c>
      <c r="C14" s="39" t="s">
        <v>40</v>
      </c>
    </row>
    <row r="15" spans="1:3" x14ac:dyDescent="0.2">
      <c r="A15" s="5" t="s">
        <v>41</v>
      </c>
      <c r="B15" s="15">
        <v>0.05</v>
      </c>
      <c r="C15" s="39" t="s">
        <v>42</v>
      </c>
    </row>
    <row r="16" spans="1:3" x14ac:dyDescent="0.2">
      <c r="A16" s="5" t="s">
        <v>43</v>
      </c>
      <c r="B16" s="17">
        <v>-16779</v>
      </c>
      <c r="C16" s="39" t="s">
        <v>44</v>
      </c>
    </row>
    <row r="17" spans="1:3" x14ac:dyDescent="0.2">
      <c r="A17" s="5" t="s">
        <v>45</v>
      </c>
      <c r="B17" s="18">
        <v>958</v>
      </c>
      <c r="C17" s="39" t="s">
        <v>46</v>
      </c>
    </row>
    <row r="18" spans="1:3" x14ac:dyDescent="0.2">
      <c r="A18" s="5" t="s">
        <v>2</v>
      </c>
      <c r="B18" s="19">
        <v>322.55</v>
      </c>
      <c r="C18" s="39" t="s">
        <v>47</v>
      </c>
    </row>
    <row r="19" spans="1:3" x14ac:dyDescent="0.2">
      <c r="C19" s="40"/>
    </row>
    <row r="20" spans="1:3" x14ac:dyDescent="0.2">
      <c r="A20" s="5" t="s">
        <v>48</v>
      </c>
      <c r="B20" s="10">
        <f>COUNT(DCF!D5:M5)</f>
        <v>10</v>
      </c>
      <c r="C20" s="39" t="s">
        <v>49</v>
      </c>
    </row>
    <row r="21" spans="1:3" x14ac:dyDescent="0.2">
      <c r="C21" s="40"/>
    </row>
    <row r="22" spans="1:3" x14ac:dyDescent="0.2">
      <c r="A22" s="13" t="s">
        <v>50</v>
      </c>
      <c r="B22" s="14" t="s">
        <v>22</v>
      </c>
      <c r="C22" s="14" t="s">
        <v>51</v>
      </c>
    </row>
    <row r="23" spans="1:3" x14ac:dyDescent="0.2">
      <c r="A23" s="5" t="s">
        <v>52</v>
      </c>
      <c r="B23" s="16">
        <v>6.5000000000000002E-2</v>
      </c>
      <c r="C23" s="39" t="s">
        <v>53</v>
      </c>
    </row>
    <row r="24" spans="1:3" x14ac:dyDescent="0.2">
      <c r="A24" s="5" t="s">
        <v>54</v>
      </c>
      <c r="B24" s="20">
        <v>1.1000000000000001</v>
      </c>
      <c r="C24" s="39" t="s">
        <v>34</v>
      </c>
    </row>
    <row r="25" spans="1:3" x14ac:dyDescent="0.2">
      <c r="A25" s="5" t="s">
        <v>55</v>
      </c>
      <c r="B25" s="16">
        <v>0.05</v>
      </c>
      <c r="C25" s="39" t="s">
        <v>56</v>
      </c>
    </row>
    <row r="26" spans="1:3" x14ac:dyDescent="0.2">
      <c r="A26" s="8" t="s">
        <v>57</v>
      </c>
      <c r="B26" s="21">
        <f>B23+B24*B25</f>
        <v>0.12000000000000001</v>
      </c>
      <c r="C26" s="39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26" customWidth="1"/>
    <col min="3" max="3" width="14" customWidth="1"/>
    <col min="4" max="4" width="22" customWidth="1"/>
  </cols>
  <sheetData>
    <row r="1" spans="1:4" ht="18" x14ac:dyDescent="0.2">
      <c r="A1" s="1" t="s">
        <v>59</v>
      </c>
    </row>
    <row r="2" spans="1:4" x14ac:dyDescent="0.2">
      <c r="A2" s="2" t="s">
        <v>60</v>
      </c>
    </row>
    <row r="3" spans="1:4" x14ac:dyDescent="0.2">
      <c r="A3" s="13" t="s">
        <v>61</v>
      </c>
      <c r="B3" s="14"/>
      <c r="C3" s="14" t="s">
        <v>62</v>
      </c>
      <c r="D3" s="14" t="s">
        <v>63</v>
      </c>
    </row>
    <row r="4" spans="1:4" x14ac:dyDescent="0.2">
      <c r="A4" s="5" t="s">
        <v>64</v>
      </c>
      <c r="C4" s="17">
        <v>1994</v>
      </c>
    </row>
    <row r="5" spans="1:4" x14ac:dyDescent="0.2">
      <c r="A5" s="5" t="s">
        <v>65</v>
      </c>
      <c r="C5" s="17">
        <v>4192</v>
      </c>
      <c r="D5" s="22">
        <f>C5/C4-1</f>
        <v>1.1023069207622869</v>
      </c>
    </row>
    <row r="6" spans="1:4" x14ac:dyDescent="0.2">
      <c r="A6" s="5" t="s">
        <v>66</v>
      </c>
      <c r="C6" s="17">
        <v>7079</v>
      </c>
      <c r="D6" s="22">
        <f>C6/C5-1</f>
        <v>0.68869274809160297</v>
      </c>
    </row>
    <row r="7" spans="1:4" x14ac:dyDescent="0.2">
      <c r="A7" s="5" t="s">
        <v>67</v>
      </c>
      <c r="C7" s="17">
        <v>12114</v>
      </c>
      <c r="D7" s="22">
        <f>C7/C6-1</f>
        <v>0.71125865235202723</v>
      </c>
    </row>
    <row r="8" spans="1:4" x14ac:dyDescent="0.2">
      <c r="A8" s="5" t="s">
        <v>68</v>
      </c>
      <c r="C8" s="17">
        <v>20243</v>
      </c>
      <c r="D8" s="22">
        <f>C8/C7-1</f>
        <v>0.67104176985306263</v>
      </c>
    </row>
    <row r="10" spans="1:4" x14ac:dyDescent="0.2">
      <c r="A10" s="8" t="s">
        <v>69</v>
      </c>
      <c r="D10" s="21">
        <f>(C8/C4)^(1/4)-1</f>
        <v>0.78499675233530208</v>
      </c>
    </row>
    <row r="12" spans="1:4" x14ac:dyDescent="0.2">
      <c r="A1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pane xSplit="2" ySplit="3" topLeftCell="C4" activePane="bottomRight" state="frozen"/>
      <selection pane="topRight"/>
      <selection pane="bottomLeft"/>
      <selection pane="bottomRight" activeCell="F33" sqref="F33"/>
    </sheetView>
  </sheetViews>
  <sheetFormatPr baseColWidth="10" defaultColWidth="8.83203125" defaultRowHeight="15" x14ac:dyDescent="0.2"/>
  <cols>
    <col min="1" max="1" width="46" customWidth="1"/>
    <col min="2" max="2" width="4" customWidth="1"/>
    <col min="3" max="13" width="12" customWidth="1"/>
  </cols>
  <sheetData>
    <row r="1" spans="1:13" ht="18" x14ac:dyDescent="0.2">
      <c r="A1" s="1" t="s">
        <v>70</v>
      </c>
    </row>
    <row r="2" spans="1:13" x14ac:dyDescent="0.2">
      <c r="A2" s="2"/>
    </row>
    <row r="3" spans="1:13" x14ac:dyDescent="0.2">
      <c r="A3" s="13" t="s">
        <v>71</v>
      </c>
      <c r="B3" s="14"/>
      <c r="C3" s="23" t="s">
        <v>68</v>
      </c>
      <c r="D3" s="14" t="s">
        <v>72</v>
      </c>
      <c r="E3" s="14" t="s">
        <v>73</v>
      </c>
      <c r="F3" s="14" t="s">
        <v>74</v>
      </c>
      <c r="G3" s="14" t="s">
        <v>75</v>
      </c>
      <c r="H3" s="14" t="s">
        <v>76</v>
      </c>
      <c r="I3" s="14" t="s">
        <v>77</v>
      </c>
      <c r="J3" s="14" t="s">
        <v>78</v>
      </c>
      <c r="K3" s="14" t="s">
        <v>79</v>
      </c>
      <c r="L3" s="14" t="s">
        <v>80</v>
      </c>
      <c r="M3" s="14" t="s">
        <v>81</v>
      </c>
    </row>
    <row r="5" spans="1:13" x14ac:dyDescent="0.2">
      <c r="A5" s="5" t="s">
        <v>82</v>
      </c>
      <c r="C5" s="9">
        <v>0</v>
      </c>
      <c r="D5" s="24">
        <v>1</v>
      </c>
      <c r="E5" s="24">
        <v>2</v>
      </c>
      <c r="F5" s="24">
        <v>3</v>
      </c>
      <c r="G5" s="24">
        <v>4</v>
      </c>
      <c r="H5" s="24">
        <v>5</v>
      </c>
      <c r="I5" s="24">
        <v>6</v>
      </c>
      <c r="J5" s="24">
        <v>7</v>
      </c>
      <c r="K5" s="24">
        <v>8</v>
      </c>
      <c r="L5" s="24">
        <v>9</v>
      </c>
      <c r="M5" s="24">
        <v>10</v>
      </c>
    </row>
    <row r="7" spans="1:13" x14ac:dyDescent="0.2">
      <c r="A7" s="5" t="s">
        <v>83</v>
      </c>
      <c r="D7" s="22">
        <f>Inputs!$B$6+(Inputs!$B$7-Inputs!$B$6)*(D5-1)/MAX(Inputs!$B$20-1,1)</f>
        <v>0.3</v>
      </c>
      <c r="E7" s="22">
        <f>Inputs!$B$6+(Inputs!$B$7-Inputs!$B$6)*(E5-1)/MAX(Inputs!$B$20-1,1)</f>
        <v>0.27555555555555555</v>
      </c>
      <c r="F7" s="22">
        <f>Inputs!$B$6+(Inputs!$B$7-Inputs!$B$6)*(F5-1)/MAX(Inputs!$B$20-1,1)</f>
        <v>0.25111111111111112</v>
      </c>
      <c r="G7" s="22">
        <f>Inputs!$B$6+(Inputs!$B$7-Inputs!$B$6)*(G5-1)/MAX(Inputs!$B$20-1,1)</f>
        <v>0.22666666666666668</v>
      </c>
      <c r="H7" s="22">
        <f>Inputs!$B$6+(Inputs!$B$7-Inputs!$B$6)*(H5-1)/MAX(Inputs!$B$20-1,1)</f>
        <v>0.20222222222222222</v>
      </c>
      <c r="I7" s="22">
        <f>Inputs!$B$6+(Inputs!$B$7-Inputs!$B$6)*(I5-1)/MAX(Inputs!$B$20-1,1)</f>
        <v>0.17777777777777778</v>
      </c>
      <c r="J7" s="22">
        <f>Inputs!$B$6+(Inputs!$B$7-Inputs!$B$6)*(J5-1)/MAX(Inputs!$B$20-1,1)</f>
        <v>0.15333333333333335</v>
      </c>
      <c r="K7" s="22">
        <f>Inputs!$B$6+(Inputs!$B$7-Inputs!$B$6)*(K5-1)/MAX(Inputs!$B$20-1,1)</f>
        <v>0.12888888888888889</v>
      </c>
      <c r="L7" s="22">
        <f>Inputs!$B$6+(Inputs!$B$7-Inputs!$B$6)*(L5-1)/MAX(Inputs!$B$20-1,1)</f>
        <v>0.10444444444444445</v>
      </c>
      <c r="M7" s="22">
        <f>Inputs!$B$6+(Inputs!$B$7-Inputs!$B$6)*(M5-1)/MAX(Inputs!$B$20-1,1)</f>
        <v>8.0000000000000016E-2</v>
      </c>
    </row>
    <row r="8" spans="1:13" x14ac:dyDescent="0.2">
      <c r="A8" s="8" t="s">
        <v>62</v>
      </c>
      <c r="C8" s="12">
        <f>Inputs!$B$4</f>
        <v>20243</v>
      </c>
      <c r="D8" s="25">
        <f t="shared" ref="D8:M8" si="0">C8*(1+D7)</f>
        <v>26315.9</v>
      </c>
      <c r="E8" s="25">
        <f t="shared" si="0"/>
        <v>33567.392444444449</v>
      </c>
      <c r="F8" s="25">
        <f t="shared" si="0"/>
        <v>41996.537658271613</v>
      </c>
      <c r="G8" s="25">
        <f t="shared" si="0"/>
        <v>51515.752860813176</v>
      </c>
      <c r="H8" s="25">
        <f t="shared" si="0"/>
        <v>61933.382883777624</v>
      </c>
      <c r="I8" s="25">
        <f t="shared" si="0"/>
        <v>72943.762063115864</v>
      </c>
      <c r="J8" s="25">
        <f t="shared" si="0"/>
        <v>84128.472246126956</v>
      </c>
      <c r="K8" s="25">
        <f t="shared" si="0"/>
        <v>94971.697557849984</v>
      </c>
      <c r="L8" s="25">
        <f t="shared" si="0"/>
        <v>104890.96374722541</v>
      </c>
      <c r="M8" s="25">
        <f t="shared" si="0"/>
        <v>113282.24084700346</v>
      </c>
    </row>
    <row r="9" spans="1:13" x14ac:dyDescent="0.2">
      <c r="A9" s="5" t="s">
        <v>84</v>
      </c>
      <c r="D9" s="22">
        <f>Inputs!$B$8+(Inputs!$B$9-Inputs!$B$8)*(D5-1)/MAX(Inputs!$B$20-1,1)</f>
        <v>0.06</v>
      </c>
      <c r="E9" s="22">
        <f>Inputs!$B$8+(Inputs!$B$9-Inputs!$B$8)*(E5-1)/MAX(Inputs!$B$20-1,1)</f>
        <v>7.5555555555555556E-2</v>
      </c>
      <c r="F9" s="22">
        <f>Inputs!$B$8+(Inputs!$B$9-Inputs!$B$8)*(F5-1)/MAX(Inputs!$B$20-1,1)</f>
        <v>9.1111111111111115E-2</v>
      </c>
      <c r="G9" s="22">
        <f>Inputs!$B$8+(Inputs!$B$9-Inputs!$B$8)*(G5-1)/MAX(Inputs!$B$20-1,1)</f>
        <v>0.10666666666666666</v>
      </c>
      <c r="H9" s="22">
        <f>Inputs!$B$8+(Inputs!$B$9-Inputs!$B$8)*(H5-1)/MAX(Inputs!$B$20-1,1)</f>
        <v>0.12222222222222223</v>
      </c>
      <c r="I9" s="22">
        <f>Inputs!$B$8+(Inputs!$B$9-Inputs!$B$8)*(I5-1)/MAX(Inputs!$B$20-1,1)</f>
        <v>0.13777777777777778</v>
      </c>
      <c r="J9" s="22">
        <f>Inputs!$B$8+(Inputs!$B$9-Inputs!$B$8)*(J5-1)/MAX(Inputs!$B$20-1,1)</f>
        <v>0.15333333333333332</v>
      </c>
      <c r="K9" s="22">
        <f>Inputs!$B$8+(Inputs!$B$9-Inputs!$B$8)*(K5-1)/MAX(Inputs!$B$20-1,1)</f>
        <v>0.16888888888888889</v>
      </c>
      <c r="L9" s="22">
        <f>Inputs!$B$8+(Inputs!$B$9-Inputs!$B$8)*(L5-1)/MAX(Inputs!$B$20-1,1)</f>
        <v>0.18444444444444447</v>
      </c>
      <c r="M9" s="22">
        <f>Inputs!$B$8+(Inputs!$B$9-Inputs!$B$8)*(M5-1)/MAX(Inputs!$B$20-1,1)</f>
        <v>0.2</v>
      </c>
    </row>
    <row r="10" spans="1:13" x14ac:dyDescent="0.2">
      <c r="A10" s="5" t="s">
        <v>85</v>
      </c>
      <c r="D10" s="26">
        <f t="shared" ref="D10:M10" si="1">D8*D9</f>
        <v>1578.954</v>
      </c>
      <c r="E10" s="26">
        <f t="shared" si="1"/>
        <v>2536.2029846913583</v>
      </c>
      <c r="F10" s="26">
        <f t="shared" si="1"/>
        <v>3826.3512088647472</v>
      </c>
      <c r="G10" s="26">
        <f t="shared" si="1"/>
        <v>5495.0136384867383</v>
      </c>
      <c r="H10" s="26">
        <f t="shared" si="1"/>
        <v>7569.6356857950432</v>
      </c>
      <c r="I10" s="26">
        <f t="shared" si="1"/>
        <v>10050.029439807075</v>
      </c>
      <c r="J10" s="26">
        <f t="shared" si="1"/>
        <v>12899.699077739466</v>
      </c>
      <c r="K10" s="26">
        <f t="shared" si="1"/>
        <v>16039.664476436887</v>
      </c>
      <c r="L10" s="26">
        <f t="shared" si="1"/>
        <v>19346.555535599357</v>
      </c>
      <c r="M10" s="26">
        <f t="shared" si="1"/>
        <v>22656.448169400694</v>
      </c>
    </row>
    <row r="11" spans="1:13" x14ac:dyDescent="0.2">
      <c r="A11" s="5" t="s">
        <v>86</v>
      </c>
      <c r="D11" s="26">
        <f>-D8*Inputs!$B$10</f>
        <v>-1121.0573400000001</v>
      </c>
      <c r="E11" s="26">
        <f>-E8*Inputs!$B$10</f>
        <v>-1429.9709181333335</v>
      </c>
      <c r="F11" s="26">
        <f>-F8*Inputs!$B$10</f>
        <v>-1789.0525042423706</v>
      </c>
      <c r="G11" s="26">
        <f>-G8*Inputs!$B$10</f>
        <v>-2194.5710718706414</v>
      </c>
      <c r="H11" s="26">
        <f>-H8*Inputs!$B$10</f>
        <v>-2638.3621108489265</v>
      </c>
      <c r="I11" s="26">
        <f>-I8*Inputs!$B$10</f>
        <v>-3107.4042638887358</v>
      </c>
      <c r="J11" s="26">
        <f>-J8*Inputs!$B$10</f>
        <v>-3583.8729176850084</v>
      </c>
      <c r="K11" s="26">
        <f>-K8*Inputs!$B$10</f>
        <v>-4045.7943159644092</v>
      </c>
      <c r="L11" s="26">
        <f>-L8*Inputs!$B$10</f>
        <v>-4468.3550556318023</v>
      </c>
      <c r="M11" s="26">
        <f>-M8*Inputs!$B$10</f>
        <v>-4825.8234600823471</v>
      </c>
    </row>
    <row r="12" spans="1:13" x14ac:dyDescent="0.2">
      <c r="A12" s="27" t="s">
        <v>87</v>
      </c>
      <c r="B12" s="28"/>
      <c r="C12" s="28"/>
      <c r="D12" s="29">
        <f t="shared" ref="D12:M12" si="2">D10+D11</f>
        <v>457.89665999999988</v>
      </c>
      <c r="E12" s="29">
        <f t="shared" si="2"/>
        <v>1106.2320665580248</v>
      </c>
      <c r="F12" s="29">
        <f t="shared" si="2"/>
        <v>2037.2987046223766</v>
      </c>
      <c r="G12" s="29">
        <f t="shared" si="2"/>
        <v>3300.4425666160969</v>
      </c>
      <c r="H12" s="29">
        <f t="shared" si="2"/>
        <v>4931.2735749461172</v>
      </c>
      <c r="I12" s="29">
        <f t="shared" si="2"/>
        <v>6942.6251759183388</v>
      </c>
      <c r="J12" s="29">
        <f t="shared" si="2"/>
        <v>9315.8261600544574</v>
      </c>
      <c r="K12" s="29">
        <f t="shared" si="2"/>
        <v>11993.870160472477</v>
      </c>
      <c r="L12" s="29">
        <f t="shared" si="2"/>
        <v>14878.200479967554</v>
      </c>
      <c r="M12" s="29">
        <f t="shared" si="2"/>
        <v>17830.624709318348</v>
      </c>
    </row>
    <row r="13" spans="1:13" x14ac:dyDescent="0.2">
      <c r="A13" s="5" t="s">
        <v>88</v>
      </c>
      <c r="D13" s="26">
        <f>-D12*Inputs!$B$13</f>
        <v>-111.72678503999997</v>
      </c>
      <c r="E13" s="26">
        <f>-E12*Inputs!$B$13</f>
        <v>-269.92062424015808</v>
      </c>
      <c r="F13" s="26">
        <f>-F12*Inputs!$B$13</f>
        <v>-497.10088392785985</v>
      </c>
      <c r="G13" s="26">
        <f>-G12*Inputs!$B$13</f>
        <v>-805.3079862543276</v>
      </c>
      <c r="H13" s="26">
        <f>-H12*Inputs!$B$13</f>
        <v>-1203.2307522868525</v>
      </c>
      <c r="I13" s="26">
        <f>-I12*Inputs!$B$13</f>
        <v>-1694.0005429240746</v>
      </c>
      <c r="J13" s="26">
        <f>-J12*Inputs!$B$13</f>
        <v>-2273.0615830532874</v>
      </c>
      <c r="K13" s="26">
        <f>-K12*Inputs!$B$13</f>
        <v>-2926.5043191552845</v>
      </c>
      <c r="L13" s="26">
        <f>-L12*Inputs!$B$13</f>
        <v>-3630.280917112083</v>
      </c>
      <c r="M13" s="26">
        <f>-M12*Inputs!$B$13</f>
        <v>-4350.6724290736765</v>
      </c>
    </row>
    <row r="14" spans="1:13" x14ac:dyDescent="0.2">
      <c r="A14" s="5" t="s">
        <v>89</v>
      </c>
      <c r="D14" s="26">
        <f t="shared" ref="D14:M14" si="3">D12+D13</f>
        <v>346.1698749599999</v>
      </c>
      <c r="E14" s="26">
        <f t="shared" si="3"/>
        <v>836.31144231786675</v>
      </c>
      <c r="F14" s="26">
        <f t="shared" si="3"/>
        <v>1540.1978206945168</v>
      </c>
      <c r="G14" s="26">
        <f t="shared" si="3"/>
        <v>2495.1345803617692</v>
      </c>
      <c r="H14" s="26">
        <f t="shared" si="3"/>
        <v>3728.0428226592649</v>
      </c>
      <c r="I14" s="26">
        <f t="shared" si="3"/>
        <v>5248.6246329942642</v>
      </c>
      <c r="J14" s="26">
        <f t="shared" si="3"/>
        <v>7042.7645770011695</v>
      </c>
      <c r="K14" s="26">
        <f t="shared" si="3"/>
        <v>9067.3658413171925</v>
      </c>
      <c r="L14" s="26">
        <f t="shared" si="3"/>
        <v>11247.919562855472</v>
      </c>
      <c r="M14" s="26">
        <f t="shared" si="3"/>
        <v>13479.952280244672</v>
      </c>
    </row>
    <row r="15" spans="1:13" x14ac:dyDescent="0.2">
      <c r="A15" s="5" t="s">
        <v>90</v>
      </c>
      <c r="D15" s="26">
        <f t="shared" ref="D15:M15" si="4">-D11</f>
        <v>1121.0573400000001</v>
      </c>
      <c r="E15" s="26">
        <f t="shared" si="4"/>
        <v>1429.9709181333335</v>
      </c>
      <c r="F15" s="26">
        <f t="shared" si="4"/>
        <v>1789.0525042423706</v>
      </c>
      <c r="G15" s="26">
        <f t="shared" si="4"/>
        <v>2194.5710718706414</v>
      </c>
      <c r="H15" s="26">
        <f t="shared" si="4"/>
        <v>2638.3621108489265</v>
      </c>
      <c r="I15" s="26">
        <f t="shared" si="4"/>
        <v>3107.4042638887358</v>
      </c>
      <c r="J15" s="26">
        <f t="shared" si="4"/>
        <v>3583.8729176850084</v>
      </c>
      <c r="K15" s="26">
        <f t="shared" si="4"/>
        <v>4045.7943159644092</v>
      </c>
      <c r="L15" s="26">
        <f t="shared" si="4"/>
        <v>4468.3550556318023</v>
      </c>
      <c r="M15" s="26">
        <f t="shared" si="4"/>
        <v>4825.8234600823471</v>
      </c>
    </row>
    <row r="16" spans="1:13" x14ac:dyDescent="0.2">
      <c r="A16" s="5" t="s">
        <v>91</v>
      </c>
      <c r="D16" s="26">
        <f>-D8*Inputs!$B$11</f>
        <v>-1210.5314000000001</v>
      </c>
      <c r="E16" s="26">
        <f>-E8*Inputs!$B$11</f>
        <v>-1544.1000524444446</v>
      </c>
      <c r="F16" s="26">
        <f>-F8*Inputs!$B$11</f>
        <v>-1931.8407322804942</v>
      </c>
      <c r="G16" s="26">
        <f>-G8*Inputs!$B$11</f>
        <v>-2369.7246315974062</v>
      </c>
      <c r="H16" s="26">
        <f>-H8*Inputs!$B$11</f>
        <v>-2848.9356126537705</v>
      </c>
      <c r="I16" s="26">
        <f>-I8*Inputs!$B$11</f>
        <v>-3355.4130549033298</v>
      </c>
      <c r="J16" s="26">
        <f>-J8*Inputs!$B$11</f>
        <v>-3869.9097233218399</v>
      </c>
      <c r="K16" s="26">
        <f>-K8*Inputs!$B$11</f>
        <v>-4368.6980876610996</v>
      </c>
      <c r="L16" s="26">
        <f>-L8*Inputs!$B$11</f>
        <v>-4824.984332372369</v>
      </c>
      <c r="M16" s="26">
        <f>-M8*Inputs!$B$11</f>
        <v>-5210.9830789621592</v>
      </c>
    </row>
    <row r="17" spans="1:13" x14ac:dyDescent="0.2">
      <c r="A17" s="5" t="s">
        <v>92</v>
      </c>
      <c r="D17" s="26">
        <f>-(D8-C8)*Inputs!$B$12</f>
        <v>-121.45800000000003</v>
      </c>
      <c r="E17" s="26">
        <f>-(E8-D8)*Inputs!$B$12</f>
        <v>-145.02984888888895</v>
      </c>
      <c r="F17" s="26">
        <f>-(F8-E8)*Inputs!$B$12</f>
        <v>-168.58290427654327</v>
      </c>
      <c r="G17" s="26">
        <f>-(G8-F8)*Inputs!$B$12</f>
        <v>-190.38430405083128</v>
      </c>
      <c r="H17" s="26">
        <f>-(H8-G8)*Inputs!$B$12</f>
        <v>-208.35260045928896</v>
      </c>
      <c r="I17" s="26">
        <f>-(I8-H8)*Inputs!$B$12</f>
        <v>-220.20758358676483</v>
      </c>
      <c r="J17" s="26">
        <f>-(J8-I8)*Inputs!$B$12</f>
        <v>-223.69420366022183</v>
      </c>
      <c r="K17" s="26">
        <f>-(K8-J8)*Inputs!$B$12</f>
        <v>-216.86450623446058</v>
      </c>
      <c r="L17" s="26">
        <f>-(L8-K8)*Inputs!$B$12</f>
        <v>-198.38532378750853</v>
      </c>
      <c r="M17" s="26">
        <f>-(M8-L8)*Inputs!$B$12</f>
        <v>-167.82554199556094</v>
      </c>
    </row>
    <row r="18" spans="1:13" x14ac:dyDescent="0.2">
      <c r="A18" s="27" t="s">
        <v>93</v>
      </c>
      <c r="B18" s="28"/>
      <c r="C18" s="28"/>
      <c r="D18" s="29">
        <f t="shared" ref="D18:M18" si="5">D14+D15+D16+D17</f>
        <v>135.23781495999975</v>
      </c>
      <c r="E18" s="29">
        <f t="shared" si="5"/>
        <v>577.1524591178669</v>
      </c>
      <c r="F18" s="29">
        <f t="shared" si="5"/>
        <v>1228.8266883798499</v>
      </c>
      <c r="G18" s="29">
        <f t="shared" si="5"/>
        <v>2129.5967165841735</v>
      </c>
      <c r="H18" s="29">
        <f t="shared" si="5"/>
        <v>3309.1167203951313</v>
      </c>
      <c r="I18" s="29">
        <f t="shared" si="5"/>
        <v>4780.4082583929048</v>
      </c>
      <c r="J18" s="29">
        <f t="shared" si="5"/>
        <v>6533.0335677041157</v>
      </c>
      <c r="K18" s="29">
        <f t="shared" si="5"/>
        <v>8527.5975633860417</v>
      </c>
      <c r="L18" s="29">
        <f t="shared" si="5"/>
        <v>10692.904962327397</v>
      </c>
      <c r="M18" s="29">
        <f t="shared" si="5"/>
        <v>12926.967119369299</v>
      </c>
    </row>
    <row r="20" spans="1:13" x14ac:dyDescent="0.2">
      <c r="A20" s="5" t="s">
        <v>94</v>
      </c>
      <c r="D20" s="30">
        <f>1/(1+Inputs!$B$14)^D5</f>
        <v>0.89285714285714279</v>
      </c>
      <c r="E20" s="30">
        <f>1/(1+Inputs!$B$14)^E5</f>
        <v>0.79719387755102034</v>
      </c>
      <c r="F20" s="30">
        <f>1/(1+Inputs!$B$14)^F5</f>
        <v>0.71178024781341087</v>
      </c>
      <c r="G20" s="30">
        <f>1/(1+Inputs!$B$14)^G5</f>
        <v>0.63551807840483121</v>
      </c>
      <c r="H20" s="30">
        <f>1/(1+Inputs!$B$14)^H5</f>
        <v>0.56742685571859919</v>
      </c>
      <c r="I20" s="30">
        <f>1/(1+Inputs!$B$14)^I5</f>
        <v>0.50663112117732068</v>
      </c>
      <c r="J20" s="30">
        <f>1/(1+Inputs!$B$14)^J5</f>
        <v>0.45234921533689343</v>
      </c>
      <c r="K20" s="30">
        <f>1/(1+Inputs!$B$14)^K5</f>
        <v>0.4038832279793691</v>
      </c>
      <c r="L20" s="30">
        <f>1/(1+Inputs!$B$14)^L5</f>
        <v>0.36061002498157957</v>
      </c>
      <c r="M20" s="30">
        <f>1/(1+Inputs!$B$14)^M5</f>
        <v>0.32197323659069599</v>
      </c>
    </row>
    <row r="21" spans="1:13" x14ac:dyDescent="0.2">
      <c r="A21" s="8" t="s">
        <v>95</v>
      </c>
      <c r="D21" s="25">
        <f t="shared" ref="D21:M21" si="6">D18*D20</f>
        <v>120.74804907142834</v>
      </c>
      <c r="E21" s="25">
        <f t="shared" si="6"/>
        <v>460.10240682227908</v>
      </c>
      <c r="F21" s="25">
        <f t="shared" si="6"/>
        <v>874.65456477474254</v>
      </c>
      <c r="G21" s="25">
        <f t="shared" si="6"/>
        <v>1353.3972131008118</v>
      </c>
      <c r="H21" s="25">
        <f t="shared" si="6"/>
        <v>1877.6816958596523</v>
      </c>
      <c r="I21" s="25">
        <f t="shared" si="6"/>
        <v>2421.9035956349203</v>
      </c>
      <c r="J21" s="25">
        <f t="shared" si="6"/>
        <v>2955.212608120542</v>
      </c>
      <c r="K21" s="25">
        <f t="shared" si="6"/>
        <v>3444.1536308093569</v>
      </c>
      <c r="L21" s="25">
        <f t="shared" si="6"/>
        <v>3855.9687255905387</v>
      </c>
      <c r="M21" s="25">
        <f t="shared" si="6"/>
        <v>4162.1374427248393</v>
      </c>
    </row>
    <row r="23" spans="1:13" x14ac:dyDescent="0.2">
      <c r="A23" s="13" t="s">
        <v>96</v>
      </c>
      <c r="B23" s="14"/>
      <c r="C23" s="14" t="s">
        <v>22</v>
      </c>
    </row>
    <row r="24" spans="1:13" x14ac:dyDescent="0.2">
      <c r="A24" s="5" t="s">
        <v>97</v>
      </c>
      <c r="C24" s="26">
        <f>SUM(D21:M21)</f>
        <v>21525.959932509111</v>
      </c>
    </row>
    <row r="25" spans="1:13" x14ac:dyDescent="0.2">
      <c r="A25" s="5" t="s">
        <v>98</v>
      </c>
      <c r="C25" s="26">
        <f>M18</f>
        <v>12926.967119369299</v>
      </c>
    </row>
    <row r="26" spans="1:13" x14ac:dyDescent="0.2">
      <c r="A26" s="5" t="s">
        <v>99</v>
      </c>
      <c r="C26" s="12">
        <f>C25*(1+Inputs!$B$15)/(Inputs!$B$14-Inputs!$B$15)</f>
        <v>193904.50679053954</v>
      </c>
    </row>
    <row r="27" spans="1:13" x14ac:dyDescent="0.2">
      <c r="A27" s="5" t="s">
        <v>100</v>
      </c>
      <c r="C27" s="26">
        <f>C26*M20</f>
        <v>62432.061640872605</v>
      </c>
    </row>
    <row r="28" spans="1:13" x14ac:dyDescent="0.2">
      <c r="A28" s="8" t="s">
        <v>101</v>
      </c>
      <c r="C28" s="25">
        <f>C24+C27</f>
        <v>83958.021573381717</v>
      </c>
    </row>
    <row r="29" spans="1:13" x14ac:dyDescent="0.2">
      <c r="A29" s="5" t="s">
        <v>102</v>
      </c>
      <c r="C29" s="12">
        <f>-Inputs!$B$16</f>
        <v>16779</v>
      </c>
    </row>
    <row r="30" spans="1:13" x14ac:dyDescent="0.2">
      <c r="A30" s="8" t="s">
        <v>103</v>
      </c>
      <c r="C30" s="25">
        <f>C28+C29</f>
        <v>100737.02157338172</v>
      </c>
    </row>
    <row r="31" spans="1:13" x14ac:dyDescent="0.2">
      <c r="A31" s="5" t="s">
        <v>104</v>
      </c>
      <c r="C31" s="31">
        <f>Inputs!$B$17</f>
        <v>958</v>
      </c>
    </row>
    <row r="32" spans="1:13" x14ac:dyDescent="0.2">
      <c r="A32" s="8" t="s">
        <v>1</v>
      </c>
      <c r="C32" s="32">
        <f>C30/C31</f>
        <v>105.15346719559678</v>
      </c>
    </row>
    <row r="33" spans="1:3" x14ac:dyDescent="0.2">
      <c r="A33" s="5" t="s">
        <v>2</v>
      </c>
      <c r="C33" s="6">
        <f>Inputs!$B$18</f>
        <v>322.55</v>
      </c>
    </row>
    <row r="34" spans="1:3" x14ac:dyDescent="0.2">
      <c r="A34" s="5" t="s">
        <v>3</v>
      </c>
      <c r="C34" s="22">
        <f>C33/C32-1</f>
        <v>2.0674214422242709</v>
      </c>
    </row>
    <row r="35" spans="1:3" x14ac:dyDescent="0.2">
      <c r="A35" s="5" t="s">
        <v>105</v>
      </c>
      <c r="C35" s="22">
        <f>C27/C28</f>
        <v>0.74361044330118231</v>
      </c>
    </row>
    <row r="37" spans="1:3" x14ac:dyDescent="0.2">
      <c r="A37" s="33" t="s">
        <v>106</v>
      </c>
      <c r="C37" s="34">
        <v>105.15</v>
      </c>
    </row>
    <row r="38" spans="1:3" x14ac:dyDescent="0.2">
      <c r="A38" s="33" t="s">
        <v>107</v>
      </c>
      <c r="C38" s="35">
        <f>C32-C37</f>
        <v>3.4671955967695567E-3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14" customWidth="1"/>
    <col min="2" max="6" width="13" customWidth="1"/>
  </cols>
  <sheetData>
    <row r="1" spans="1:6" ht="25" x14ac:dyDescent="0.25">
      <c r="A1" s="41" t="s">
        <v>108</v>
      </c>
    </row>
    <row r="2" spans="1:6" x14ac:dyDescent="0.2">
      <c r="A2" s="2"/>
    </row>
    <row r="4" spans="1:6" x14ac:dyDescent="0.2">
      <c r="A4" s="23" t="s">
        <v>109</v>
      </c>
      <c r="B4" s="36">
        <f>Inputs!$B$15+(-0.01)</f>
        <v>0.04</v>
      </c>
      <c r="C4" s="36">
        <f>Inputs!$B$15+(-0.005)</f>
        <v>4.5000000000000005E-2</v>
      </c>
      <c r="D4" s="36">
        <f>Inputs!$B$15+(0)</f>
        <v>0.05</v>
      </c>
      <c r="E4" s="36">
        <f>Inputs!$B$15+(0.005)</f>
        <v>5.5E-2</v>
      </c>
      <c r="F4" s="36">
        <f>Inputs!$B$15+(0.01)</f>
        <v>6.0000000000000005E-2</v>
      </c>
    </row>
    <row r="5" spans="1:6" x14ac:dyDescent="0.2">
      <c r="A5" s="37">
        <f>Inputs!$B$14+(-0.02)</f>
        <v>9.9999999999999992E-2</v>
      </c>
      <c r="B5" s="38">
        <f>(SUMPRODUCT(DCF!$D$18:$M$18/(1+$A5)^DCF!$D$5:$M$5)+DCF!$M$18*(1+B$4)/($A5-B$4)/(1+$A5)^Inputs!$B$20-Inputs!$B$16)/Inputs!$B$17</f>
        <v>133.34752216950483</v>
      </c>
      <c r="C5" s="38">
        <f>(SUMPRODUCT(DCF!$D$18:$M$18/(1+$A5)^DCF!$D$5:$M$5)+DCF!$M$18*(1+C$4)/($A5-C$4)/(1+$A5)^Inputs!$B$20-Inputs!$B$16)/Inputs!$B$17</f>
        <v>142.01819966698051</v>
      </c>
      <c r="D5" s="38">
        <f>(SUMPRODUCT(DCF!$D$18:$M$18/(1+$A5)^DCF!$D$5:$M$5)+DCF!$M$18*(1+D$4)/($A5-D$4)/(1+$A5)^Inputs!$B$20-Inputs!$B$16)/Inputs!$B$17</f>
        <v>152.4230126639514</v>
      </c>
      <c r="E5" s="38">
        <f>(SUMPRODUCT(DCF!$D$18:$M$18/(1+$A5)^DCF!$D$5:$M$5)+DCF!$M$18*(1+E$4)/($A5-E$4)/(1+$A5)^Inputs!$B$20-Inputs!$B$16)/Inputs!$B$17</f>
        <v>165.14000632691571</v>
      </c>
      <c r="F5" s="38">
        <f>(SUMPRODUCT(DCF!$D$18:$M$18/(1+$A5)^DCF!$D$5:$M$5)+DCF!$M$18*(1+F$4)/($A5-F$4)/(1+$A5)^Inputs!$B$20-Inputs!$B$16)/Inputs!$B$17</f>
        <v>181.03624840562125</v>
      </c>
    </row>
    <row r="6" spans="1:6" x14ac:dyDescent="0.2">
      <c r="A6" s="37">
        <f>Inputs!$B$14+(-0.01)</f>
        <v>0.11</v>
      </c>
      <c r="B6" s="38">
        <f>(SUMPRODUCT(DCF!$D$18:$M$18/(1+$A6)^DCF!$D$5:$M$5)+DCF!$M$18*(1+B$4)/($A6-B$4)/(1+$A6)^Inputs!$B$20-Inputs!$B$16)/Inputs!$B$17</f>
        <v>112.11881069217536</v>
      </c>
      <c r="C6" s="38">
        <f>(SUMPRODUCT(DCF!$D$18:$M$18/(1+$A6)^DCF!$D$5:$M$5)+DCF!$M$18*(1+C$4)/($A6-C$4)/(1+$A6)^Inputs!$B$20-Inputs!$B$16)/Inputs!$B$17</f>
        <v>117.915538842107</v>
      </c>
      <c r="D6" s="38">
        <f>(SUMPRODUCT(DCF!$D$18:$M$18/(1+$A6)^DCF!$D$5:$M$5)+DCF!$M$18*(1+D$4)/($A6-D$4)/(1+$A6)^Inputs!$B$20-Inputs!$B$16)/Inputs!$B$17</f>
        <v>124.67838835036062</v>
      </c>
      <c r="E6" s="38">
        <f>(SUMPRODUCT(DCF!$D$18:$M$18/(1+$A6)^DCF!$D$5:$M$5)+DCF!$M$18*(1+E$4)/($A6-E$4)/(1+$A6)^Inputs!$B$20-Inputs!$B$16)/Inputs!$B$17</f>
        <v>132.67084686011486</v>
      </c>
      <c r="F6" s="38">
        <f>(SUMPRODUCT(DCF!$D$18:$M$18/(1+$A6)^DCF!$D$5:$M$5)+DCF!$M$18*(1+F$4)/($A6-F$4)/(1+$A6)^Inputs!$B$20-Inputs!$B$16)/Inputs!$B$17</f>
        <v>142.26179707181998</v>
      </c>
    </row>
    <row r="7" spans="1:6" x14ac:dyDescent="0.2">
      <c r="A7" s="37">
        <f>Inputs!$B$14+(0)</f>
        <v>0.12</v>
      </c>
      <c r="B7" s="38">
        <f>(SUMPRODUCT(DCF!$D$18:$M$18/(1+$A7)^DCF!$D$5:$M$5)+DCF!$M$18*(1+B$4)/($A7-B$4)/(1+$A7)^Inputs!$B$20-Inputs!$B$16)/Inputs!$B$17</f>
        <v>96.464244976964537</v>
      </c>
      <c r="C7" s="38">
        <f>(SUMPRODUCT(DCF!$D$18:$M$18/(1+$A7)^DCF!$D$5:$M$5)+DCF!$M$18*(1+C$4)/($A7-C$4)/(1+$A7)^Inputs!$B$20-Inputs!$B$16)/Inputs!$B$17</f>
        <v>100.51921534565957</v>
      </c>
      <c r="D7" s="32">
        <f>(SUMPRODUCT(DCF!$D$18:$M$18/(1+$A7)^DCF!$D$5:$M$5)+DCF!$M$18*(1+D$4)/($A7-D$4)/(1+$A7)^Inputs!$B$20-Inputs!$B$16)/Inputs!$B$17</f>
        <v>105.15346719559678</v>
      </c>
      <c r="E7" s="38">
        <f>(SUMPRODUCT(DCF!$D$18:$M$18/(1+$A7)^DCF!$D$5:$M$5)+DCF!$M$18*(1+E$4)/($A7-E$4)/(1+$A7)^Inputs!$B$20-Inputs!$B$16)/Inputs!$B$17</f>
        <v>110.50068086860121</v>
      </c>
      <c r="F7" s="38">
        <f>(SUMPRODUCT(DCF!$D$18:$M$18/(1+$A7)^DCF!$D$5:$M$5)+DCF!$M$18*(1+F$4)/($A7-F$4)/(1+$A7)^Inputs!$B$20-Inputs!$B$16)/Inputs!$B$17</f>
        <v>116.73909682043976</v>
      </c>
    </row>
    <row r="8" spans="1:6" x14ac:dyDescent="0.2">
      <c r="A8" s="37">
        <f>Inputs!$B$14+(0.01)</f>
        <v>0.13</v>
      </c>
      <c r="B8" s="38">
        <f>(SUMPRODUCT(DCF!$D$18:$M$18/(1+$A8)^DCF!$D$5:$M$5)+DCF!$M$18*(1+B$4)/($A8-B$4)/(1+$A8)^Inputs!$B$20-Inputs!$B$16)/Inputs!$B$17</f>
        <v>84.507335193103856</v>
      </c>
      <c r="C8" s="38">
        <f>(SUMPRODUCT(DCF!$D$18:$M$18/(1+$A8)^DCF!$D$5:$M$5)+DCF!$M$18*(1+C$4)/($A8-C$4)/(1+$A8)^Inputs!$B$20-Inputs!$B$16)/Inputs!$B$17</f>
        <v>87.443184181104868</v>
      </c>
      <c r="D8" s="38">
        <f>(SUMPRODUCT(DCF!$D$18:$M$18/(1+$A8)^DCF!$D$5:$M$5)+DCF!$M$18*(1+D$4)/($A8-D$4)/(1+$A8)^Inputs!$B$20-Inputs!$B$16)/Inputs!$B$17</f>
        <v>90.746014292605992</v>
      </c>
      <c r="E8" s="38">
        <f>(SUMPRODUCT(DCF!$D$18:$M$18/(1+$A8)^DCF!$D$5:$M$5)+DCF!$M$18*(1+E$4)/($A8-E$4)/(1+$A8)^Inputs!$B$20-Inputs!$B$16)/Inputs!$B$17</f>
        <v>94.489221752307259</v>
      </c>
      <c r="F8" s="38">
        <f>(SUMPRODUCT(DCF!$D$18:$M$18/(1+$A8)^DCF!$D$5:$M$5)+DCF!$M$18*(1+F$4)/($A8-F$4)/(1+$A8)^Inputs!$B$20-Inputs!$B$16)/Inputs!$B$17</f>
        <v>98.767173134823011</v>
      </c>
    </row>
    <row r="9" spans="1:6" x14ac:dyDescent="0.2">
      <c r="A9" s="37">
        <f>Inputs!$B$14+(0.02)</f>
        <v>0.13999999999999999</v>
      </c>
      <c r="B9" s="38">
        <f>(SUMPRODUCT(DCF!$D$18:$M$18/(1+$A9)^DCF!$D$5:$M$5)+DCF!$M$18*(1+B$4)/($A9-B$4)/(1+$A9)^Inputs!$B$20-Inputs!$B$16)/Inputs!$B$17</f>
        <v>75.123654120363597</v>
      </c>
      <c r="C9" s="38">
        <f>(SUMPRODUCT(DCF!$D$18:$M$18/(1+$A9)^DCF!$D$5:$M$5)+DCF!$M$18*(1+C$4)/($A9-C$4)/(1+$A9)^Inputs!$B$20-Inputs!$B$16)/Inputs!$B$17</f>
        <v>77.307559771493572</v>
      </c>
      <c r="D9" s="38">
        <f>(SUMPRODUCT(DCF!$D$18:$M$18/(1+$A9)^DCF!$D$5:$M$5)+DCF!$M$18*(1+D$4)/($A9-D$4)/(1+$A9)^Inputs!$B$20-Inputs!$B$16)/Inputs!$B$17</f>
        <v>79.734121606082468</v>
      </c>
      <c r="E9" s="38">
        <f>(SUMPRODUCT(DCF!$D$18:$M$18/(1+$A9)^DCF!$D$5:$M$5)+DCF!$M$18*(1+E$4)/($A9-E$4)/(1+$A9)^Inputs!$B$20-Inputs!$B$16)/Inputs!$B$17</f>
        <v>82.446161303564139</v>
      </c>
      <c r="F9" s="38">
        <f>(SUMPRODUCT(DCF!$D$18:$M$18/(1+$A9)^DCF!$D$5:$M$5)+DCF!$M$18*(1+F$4)/($A9-F$4)/(1+$A9)^Inputs!$B$20-Inputs!$B$16)/Inputs!$B$17</f>
        <v>85.497205963231053</v>
      </c>
    </row>
    <row r="11" spans="1:6" x14ac:dyDescent="0.2">
      <c r="A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Inputs</vt:lpstr>
      <vt:lpstr>Historicals</vt:lpstr>
      <vt:lpstr>DCF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 Jain - ENR01177</cp:lastModifiedBy>
  <dcterms:created xsi:type="dcterms:W3CDTF">2026-10-20T09:11:19Z</dcterms:created>
  <dcterms:modified xsi:type="dcterms:W3CDTF">2026-10-21T03:28:53Z</dcterms:modified>
</cp:coreProperties>
</file>