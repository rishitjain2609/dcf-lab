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rishitjain/Downloads/"/>
    </mc:Choice>
  </mc:AlternateContent>
  <xr:revisionPtr revIDLastSave="0" documentId="13_ncr:1_{11FE6DB8-3D4B-FE47-8BAA-EE9EE95D3E8C}" xr6:coauthVersionLast="47" xr6:coauthVersionMax="47" xr10:uidLastSave="{00000000-0000-0000-0000-000000000000}"/>
  <bookViews>
    <workbookView xWindow="0" yWindow="660" windowWidth="29400" windowHeight="18460" activeTab="4" xr2:uid="{00000000-000D-0000-FFFF-FFFF00000000}"/>
  </bookViews>
  <sheets>
    <sheet name="Cover" sheetId="1" r:id="rId1"/>
    <sheet name="Inputs" sheetId="2" r:id="rId2"/>
    <sheet name="Historicals" sheetId="3" r:id="rId3"/>
    <sheet name="DCF" sheetId="4" r:id="rId4"/>
    <sheet name="Sensitivit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5" l="1"/>
  <c r="A8" i="5"/>
  <c r="A7" i="5"/>
  <c r="A6" i="5"/>
  <c r="A5" i="5"/>
  <c r="F4" i="5"/>
  <c r="E4" i="5"/>
  <c r="D4" i="5"/>
  <c r="C4" i="5"/>
  <c r="B4" i="5"/>
  <c r="C33" i="4"/>
  <c r="C31" i="4"/>
  <c r="C29" i="4"/>
  <c r="H20" i="4"/>
  <c r="G20" i="4"/>
  <c r="F20" i="4"/>
  <c r="E20" i="4"/>
  <c r="D20" i="4"/>
  <c r="D10" i="3"/>
  <c r="D8" i="3"/>
  <c r="D7" i="3"/>
  <c r="D6" i="3"/>
  <c r="D5" i="3"/>
  <c r="B20" i="2"/>
  <c r="B4" i="2"/>
  <c r="C8" i="4" s="1"/>
  <c r="B5" i="1"/>
  <c r="G9" i="4" l="1"/>
  <c r="F9" i="4"/>
  <c r="E9" i="4"/>
  <c r="D9" i="4"/>
  <c r="H7" i="4"/>
  <c r="G7" i="4"/>
  <c r="F7" i="4"/>
  <c r="E7" i="4"/>
  <c r="D7" i="4"/>
  <c r="D8" i="4" s="1"/>
  <c r="H9" i="4"/>
  <c r="D10" i="4" l="1"/>
  <c r="D11" i="4"/>
  <c r="D15" i="4" s="1"/>
  <c r="E8" i="4"/>
  <c r="D17" i="4"/>
  <c r="D16" i="4"/>
  <c r="E10" i="4" l="1"/>
  <c r="E11" i="4"/>
  <c r="E15" i="4" s="1"/>
  <c r="E17" i="4"/>
  <c r="E16" i="4"/>
  <c r="F8" i="4"/>
  <c r="D12" i="4"/>
  <c r="G8" i="4" l="1"/>
  <c r="F16" i="4"/>
  <c r="F17" i="4"/>
  <c r="F10" i="4"/>
  <c r="F11" i="4"/>
  <c r="F15" i="4" s="1"/>
  <c r="D13" i="4"/>
  <c r="D14" i="4"/>
  <c r="D18" i="4" s="1"/>
  <c r="E12" i="4"/>
  <c r="H8" i="4" l="1"/>
  <c r="G16" i="4"/>
  <c r="G17" i="4"/>
  <c r="G10" i="4"/>
  <c r="G11" i="4"/>
  <c r="G15" i="4" s="1"/>
  <c r="D21" i="4"/>
  <c r="E13" i="4"/>
  <c r="E14" i="4" s="1"/>
  <c r="E18" i="4" s="1"/>
  <c r="F12" i="4"/>
  <c r="H16" i="4" l="1"/>
  <c r="H17" i="4"/>
  <c r="H10" i="4"/>
  <c r="H11" i="4"/>
  <c r="H15" i="4" s="1"/>
  <c r="F13" i="4"/>
  <c r="F14" i="4" s="1"/>
  <c r="F18" i="4" s="1"/>
  <c r="G12" i="4"/>
  <c r="E21" i="4"/>
  <c r="G13" i="4" l="1"/>
  <c r="G14" i="4" s="1"/>
  <c r="G18" i="4" s="1"/>
  <c r="H12" i="4"/>
  <c r="F21" i="4"/>
  <c r="H13" i="4" l="1"/>
  <c r="H14" i="4" s="1"/>
  <c r="H18" i="4" s="1"/>
  <c r="G21" i="4"/>
  <c r="H21" i="4" l="1"/>
  <c r="C24" i="4" s="1"/>
  <c r="C28" i="4" s="1"/>
  <c r="C30" i="4" s="1"/>
  <c r="C32" i="4" s="1"/>
  <c r="C25" i="4"/>
  <c r="C26" i="4" s="1"/>
  <c r="C27" i="4" s="1"/>
  <c r="F7" i="5"/>
  <c r="F9" i="5"/>
  <c r="E6" i="5"/>
  <c r="F6" i="5"/>
  <c r="E8" i="5"/>
  <c r="D8" i="5"/>
  <c r="C7" i="5"/>
  <c r="F8" i="5"/>
  <c r="E9" i="5"/>
  <c r="E7" i="5"/>
  <c r="B9" i="5"/>
  <c r="D9" i="5"/>
  <c r="B7" i="5"/>
  <c r="B6" i="5"/>
  <c r="D7" i="5"/>
  <c r="C5" i="5"/>
  <c r="F5" i="5"/>
  <c r="B8" i="5"/>
  <c r="C8" i="5"/>
  <c r="C9" i="5"/>
  <c r="B5" i="5"/>
  <c r="D5" i="5"/>
  <c r="E5" i="5"/>
  <c r="C6" i="5"/>
  <c r="D6" i="5"/>
  <c r="C35" i="4" l="1"/>
  <c r="C38" i="4"/>
  <c r="C34" i="4"/>
  <c r="B4" i="1"/>
  <c r="B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DCF Lab</author>
  </authors>
  <commentList>
    <comment ref="A4" authorId="0" shapeId="0" xr:uid="{00000000-0006-0000-0000-000001000000}">
      <text>
        <r>
          <rPr>
            <sz val="11"/>
            <color rgb="FF000000"/>
            <rFont val="Calibri"/>
            <family val="2"/>
          </rPr>
          <t>Linked from the DCF sheet's valuation block.</t>
        </r>
      </text>
    </comment>
  </commentList>
</comments>
</file>

<file path=xl/sharedStrings.xml><?xml version="1.0" encoding="utf-8"?>
<sst xmlns="http://schemas.openxmlformats.org/spreadsheetml/2006/main" count="105" uniqueCount="96">
  <si>
    <t>Nike Inc (NYSE: NKE): DCF model</t>
  </si>
  <si>
    <t>Implied value per share</t>
  </si>
  <si>
    <t>Share price at publish</t>
  </si>
  <si>
    <t>Price vs implied value</t>
  </si>
  <si>
    <t>How the workbook is built</t>
  </si>
  <si>
    <t>Inputs: every assumption in one place, with its source. Change a blue cell and the whole model updates.</t>
  </si>
  <si>
    <t>Historicals: reported revenue and the growth rate behind the forecast.</t>
  </si>
  <si>
    <t>DCF: 5-year forecast from revenue down to unlevered free cash flow, discounted at WACC, plus a Gordon growth terminal value, then the bridge from enterprise value to value per share.</t>
  </si>
  <si>
    <t>Sensitivity: implied value per share across a range of WACC and terminal growth rates.</t>
  </si>
  <si>
    <t>Colour key</t>
  </si>
  <si>
    <t>Blue text: hardcoded input you can change</t>
  </si>
  <si>
    <t>Black text: formula</t>
  </si>
  <si>
    <t>Green text: linked from another sheet</t>
  </si>
  <si>
    <t>Yellow fill: key assumption or headline result</t>
  </si>
  <si>
    <t>Sources</t>
  </si>
  <si>
    <t>Revenue FY21-FY25, EBITDA margin, D&amp;A, capex and tax rate: Nike FY2025 Form 10-K (fiscal year ended May 31, 2025), SEC EDGAR.</t>
  </si>
  <si>
    <t>Net debt, diluted shares, share price: stockanalysis.com, close of Oct 19, 2026.</t>
  </si>
  <si>
    <t>Growth path, WACC and terminal growth: this model's own estimates.</t>
  </si>
  <si>
    <t>Nike Inc DCF: inputs</t>
  </si>
  <si>
    <t>Base year revenue</t>
  </si>
  <si>
    <t>Assumption</t>
  </si>
  <si>
    <t>Value</t>
  </si>
  <si>
    <t>Revenue growth, year 1</t>
  </si>
  <si>
    <t>Model estimate. Held flat at 3% a year: no turnaround assumed.</t>
  </si>
  <si>
    <t>Revenue growth, final year</t>
  </si>
  <si>
    <t>EBITDA margin, year 1</t>
  </si>
  <si>
    <t>FY25 EBITDA margin from the 10-K: operating income $3.7B plus $775M D&amp;A, over $46.3B revenue.</t>
  </si>
  <si>
    <t>EBITDA margin, final year</t>
  </si>
  <si>
    <t>D&amp;A, % of revenue</t>
  </si>
  <si>
    <t>FY25 D&amp;A of $775M over revenue, Nike 10-K.</t>
  </si>
  <si>
    <t>Capex, % of revenue</t>
  </si>
  <si>
    <t>FY25 capital expenditure over revenue, Nike 10-K.</t>
  </si>
  <si>
    <t>Increase in working capital, % of revenue increase</t>
  </si>
  <si>
    <t>Model estimate: working capital absorbs 2% of each year's revenue increase.</t>
  </si>
  <si>
    <t>Tax rate</t>
  </si>
  <si>
    <t>FY25 effective tax rate, Nike 10-K.</t>
  </si>
  <si>
    <t>WACC (discount rate)</t>
  </si>
  <si>
    <t>Model estimate.</t>
  </si>
  <si>
    <t>Terminal growth rate</t>
  </si>
  <si>
    <t>Model estimate, roughly long-run US nominal growth.</t>
  </si>
  <si>
    <t>Net debt (negative = net cash)</t>
  </si>
  <si>
    <t>Total debt less cash and short-term investments, stockanalysis.com.</t>
  </si>
  <si>
    <t>Diluted shares</t>
  </si>
  <si>
    <t>Diluted shares, stockanalysis.com.</t>
  </si>
  <si>
    <t>Close of Oct 19, 2026, stockanalysis.com.</t>
  </si>
  <si>
    <t>Forecast years</t>
  </si>
  <si>
    <t>Counted from the DCF sheet's year row.</t>
  </si>
  <si>
    <t>Nike Inc: revenue history</t>
  </si>
  <si>
    <t>$ millions</t>
  </si>
  <si>
    <t>Fiscal year</t>
  </si>
  <si>
    <t>Revenue</t>
  </si>
  <si>
    <t>Growth vs prior year</t>
  </si>
  <si>
    <t>FY21</t>
  </si>
  <si>
    <t>FY22</t>
  </si>
  <si>
    <t>FY23</t>
  </si>
  <si>
    <t>FY24</t>
  </si>
  <si>
    <t>FY25</t>
  </si>
  <si>
    <t>4-year revenue CAGR</t>
  </si>
  <si>
    <t>Nike Inc: discounted cash flow</t>
  </si>
  <si>
    <t>Line item</t>
  </si>
  <si>
    <t>Year 1</t>
  </si>
  <si>
    <t>Year 2</t>
  </si>
  <si>
    <t>Year 3</t>
  </si>
  <si>
    <t>Year 4</t>
  </si>
  <si>
    <t>Year 5</t>
  </si>
  <si>
    <t>Year (t)</t>
  </si>
  <si>
    <t>Revenue growth</t>
  </si>
  <si>
    <t>EBITDA margin</t>
  </si>
  <si>
    <t>EBITDA</t>
  </si>
  <si>
    <t>Less D&amp;A</t>
  </si>
  <si>
    <t>EBIT</t>
  </si>
  <si>
    <t>Less tax on EBIT</t>
  </si>
  <si>
    <t>NOPAT</t>
  </si>
  <si>
    <t>Plus D&amp;A</t>
  </si>
  <si>
    <t>Less capex</t>
  </si>
  <si>
    <t>Less increase in working capital</t>
  </si>
  <si>
    <t>Unlevered free cash flow</t>
  </si>
  <si>
    <t>Discount factor = 1 / (1 + WACC)^t</t>
  </si>
  <si>
    <t>Present value of UFCF</t>
  </si>
  <si>
    <t>Valuation</t>
  </si>
  <si>
    <t>Sum of PV of UFCF</t>
  </si>
  <si>
    <t>Final-year UFCF</t>
  </si>
  <si>
    <t>Terminal value = UFCF x (1 + g) / (WACC - g)</t>
  </si>
  <si>
    <t>PV of terminal value</t>
  </si>
  <si>
    <t>Enterprise value</t>
  </si>
  <si>
    <t>Less net debt (plus net cash)</t>
  </si>
  <si>
    <t>Equity value</t>
  </si>
  <si>
    <t>Diluted shares (millions)</t>
  </si>
  <si>
    <t>Terminal value share of EV</t>
  </si>
  <si>
    <t>Check: implied value published on DCF Lab</t>
  </si>
  <si>
    <t>Difference (rounding only)</t>
  </si>
  <si>
    <t>Nike Inc: implied value per share</t>
  </si>
  <si>
    <t>WACC \ g</t>
  </si>
  <si>
    <t>FY25 revenue</t>
  </si>
  <si>
    <t xml:space="preserve">Source </t>
  </si>
  <si>
    <t>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</si>
</sst>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&quot;-&quot;"/>
    <numFmt numFmtId="165" formatCode="0.0%;\(0.0%\);&quot;-&quot;"/>
    <numFmt numFmtId="166" formatCode="#,##0.0"/>
    <numFmt numFmtId="167" formatCode="&quot;$&quot;0.00"/>
    <numFmt numFmtId="168" formatCode="0.0000"/>
    <numFmt numFmtId="169" formatCode="0.00;\(0.00\);&quot;-&quot;"/>
  </numFmts>
  <fonts count="15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10"/>
      <color rgb="FF000000"/>
      <name val="Arial"/>
      <family val="2"/>
    </font>
    <font>
      <i/>
      <sz val="10"/>
      <color rgb="FF0000FF"/>
      <name val="Arial"/>
      <family val="2"/>
    </font>
    <font>
      <b/>
      <sz val="12"/>
      <color rgb="FF000000"/>
      <name val="Arial"/>
      <family val="2"/>
    </font>
    <font>
      <b/>
      <sz val="12"/>
      <color rgb="FF008000"/>
      <name val="Arial"/>
      <family val="2"/>
    </font>
    <font>
      <sz val="11"/>
      <color rgb="FF000000"/>
      <name val="Calibri"/>
      <family val="2"/>
    </font>
    <font>
      <sz val="10"/>
      <color rgb="FF555555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33621"/>
      </patternFill>
    </fill>
    <fill>
      <patternFill patternType="solid">
        <fgColor rgb="FFFFFF00"/>
      </patternFill>
    </fill>
    <fill>
      <patternFill patternType="solid">
        <fgColor rgb="FFEDEDE6"/>
      </patternFill>
    </fill>
  </fills>
  <borders count="2">
    <border>
      <left/>
      <right/>
      <top/>
      <bottom/>
      <diagonal/>
    </border>
    <border>
      <left/>
      <right/>
      <top style="thin">
        <color rgb="FF999999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10" fillId="0" borderId="0" xfId="0" applyFont="1"/>
    <xf numFmtId="167" fontId="11" fillId="0" borderId="0" xfId="0" applyNumberFormat="1" applyFont="1"/>
    <xf numFmtId="0" fontId="6" fillId="0" borderId="0" xfId="0" applyFont="1"/>
    <xf numFmtId="167" fontId="4" fillId="0" borderId="0" xfId="0" applyNumberFormat="1" applyFont="1"/>
    <xf numFmtId="165" fontId="0" fillId="0" borderId="0" xfId="0" applyNumberFormat="1"/>
    <xf numFmtId="0" fontId="3" fillId="0" borderId="0" xfId="0" applyFont="1"/>
    <xf numFmtId="0" fontId="7" fillId="0" borderId="0" xfId="0" applyFont="1"/>
    <xf numFmtId="0" fontId="4" fillId="0" borderId="0" xfId="0" applyFont="1"/>
    <xf numFmtId="0" fontId="6" fillId="3" borderId="0" xfId="0" applyFont="1" applyFill="1"/>
    <xf numFmtId="164" fontId="4" fillId="0" borderId="0" xfId="0" applyNumberFormat="1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165" fontId="7" fillId="3" borderId="0" xfId="0" applyNumberFormat="1" applyFont="1" applyFill="1"/>
    <xf numFmtId="165" fontId="7" fillId="0" borderId="0" xfId="0" applyNumberFormat="1" applyFont="1"/>
    <xf numFmtId="164" fontId="7" fillId="0" borderId="0" xfId="0" applyNumberFormat="1" applyFont="1"/>
    <xf numFmtId="166" fontId="7" fillId="0" borderId="0" xfId="0" applyNumberFormat="1" applyFont="1"/>
    <xf numFmtId="167" fontId="7" fillId="0" borderId="0" xfId="0" applyNumberFormat="1" applyFont="1"/>
    <xf numFmtId="165" fontId="6" fillId="0" borderId="0" xfId="0" applyNumberFormat="1" applyFont="1"/>
    <xf numFmtId="165" fontId="3" fillId="0" borderId="0" xfId="0" applyNumberFormat="1" applyFont="1"/>
    <xf numFmtId="0" fontId="5" fillId="2" borderId="0" xfId="0" applyFont="1" applyFill="1"/>
    <xf numFmtId="1" fontId="7" fillId="0" borderId="0" xfId="0" applyNumberFormat="1" applyFont="1"/>
    <xf numFmtId="164" fontId="3" fillId="0" borderId="0" xfId="0" applyNumberFormat="1" applyFont="1"/>
    <xf numFmtId="164" fontId="6" fillId="0" borderId="0" xfId="0" applyNumberFormat="1" applyFont="1"/>
    <xf numFmtId="0" fontId="3" fillId="0" borderId="1" xfId="0" applyFont="1" applyBorder="1"/>
    <xf numFmtId="0" fontId="0" fillId="0" borderId="1" xfId="0" applyBorder="1"/>
    <xf numFmtId="164" fontId="3" fillId="0" borderId="1" xfId="0" applyNumberFormat="1" applyFont="1" applyBorder="1"/>
    <xf numFmtId="168" fontId="6" fillId="0" borderId="0" xfId="0" applyNumberFormat="1" applyFont="1"/>
    <xf numFmtId="166" fontId="4" fillId="0" borderId="0" xfId="0" applyNumberFormat="1" applyFont="1"/>
    <xf numFmtId="167" fontId="3" fillId="3" borderId="0" xfId="0" applyNumberFormat="1" applyFont="1" applyFill="1"/>
    <xf numFmtId="0" fontId="8" fillId="0" borderId="0" xfId="0" applyFont="1"/>
    <xf numFmtId="167" fontId="9" fillId="0" borderId="0" xfId="0" applyNumberFormat="1" applyFont="1"/>
    <xf numFmtId="169" fontId="8" fillId="0" borderId="0" xfId="0" applyNumberFormat="1" applyFont="1"/>
    <xf numFmtId="165" fontId="5" fillId="2" borderId="0" xfId="0" applyNumberFormat="1" applyFont="1" applyFill="1"/>
    <xf numFmtId="165" fontId="3" fillId="4" borderId="0" xfId="0" applyNumberFormat="1" applyFont="1" applyFill="1"/>
    <xf numFmtId="167" fontId="6" fillId="0" borderId="0" xfId="0" applyNumberFormat="1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>
      <selection activeCell="A33" sqref="A33"/>
    </sheetView>
  </sheetViews>
  <sheetFormatPr baseColWidth="10" defaultColWidth="8.83203125" defaultRowHeight="15" x14ac:dyDescent="0.2"/>
  <cols>
    <col min="1" max="1" width="120" customWidth="1"/>
    <col min="2" max="2" width="14" customWidth="1"/>
  </cols>
  <sheetData>
    <row r="1" spans="1:2" ht="18" x14ac:dyDescent="0.2">
      <c r="A1" s="1" t="s">
        <v>0</v>
      </c>
    </row>
    <row r="2" spans="1:2" x14ac:dyDescent="0.2">
      <c r="A2" s="2"/>
    </row>
    <row r="4" spans="1:2" ht="16" x14ac:dyDescent="0.2">
      <c r="A4" s="3" t="s">
        <v>1</v>
      </c>
      <c r="B4" s="4">
        <f>DCF!$C$32</f>
        <v>43.184159005311201</v>
      </c>
    </row>
    <row r="5" spans="1:2" x14ac:dyDescent="0.2">
      <c r="A5" s="5" t="s">
        <v>2</v>
      </c>
      <c r="B5" s="6">
        <f>Inputs!$B$18</f>
        <v>37.21</v>
      </c>
    </row>
    <row r="6" spans="1:2" x14ac:dyDescent="0.2">
      <c r="A6" s="5" t="s">
        <v>3</v>
      </c>
      <c r="B6" s="7">
        <f>B5/B4-1</f>
        <v>-0.13834144609777954</v>
      </c>
    </row>
    <row r="8" spans="1:2" x14ac:dyDescent="0.2">
      <c r="A8" s="8" t="s">
        <v>4</v>
      </c>
    </row>
    <row r="9" spans="1:2" x14ac:dyDescent="0.2">
      <c r="A9" s="5" t="s">
        <v>5</v>
      </c>
    </row>
    <row r="10" spans="1:2" x14ac:dyDescent="0.2">
      <c r="A10" s="5" t="s">
        <v>6</v>
      </c>
    </row>
    <row r="11" spans="1:2" x14ac:dyDescent="0.2">
      <c r="A11" s="5" t="s">
        <v>7</v>
      </c>
    </row>
    <row r="12" spans="1:2" x14ac:dyDescent="0.2">
      <c r="A12" s="5" t="s">
        <v>8</v>
      </c>
    </row>
    <row r="14" spans="1:2" x14ac:dyDescent="0.2">
      <c r="A14" s="8" t="s">
        <v>9</v>
      </c>
    </row>
    <row r="15" spans="1:2" x14ac:dyDescent="0.2">
      <c r="A15" s="9" t="s">
        <v>10</v>
      </c>
    </row>
    <row r="16" spans="1:2" x14ac:dyDescent="0.2">
      <c r="A16" s="5" t="s">
        <v>11</v>
      </c>
    </row>
    <row r="17" spans="1:1" x14ac:dyDescent="0.2">
      <c r="A17" s="10" t="s">
        <v>12</v>
      </c>
    </row>
    <row r="18" spans="1:1" x14ac:dyDescent="0.2">
      <c r="A18" s="11" t="s">
        <v>13</v>
      </c>
    </row>
    <row r="20" spans="1:1" x14ac:dyDescent="0.2">
      <c r="A20" s="8" t="s">
        <v>14</v>
      </c>
    </row>
    <row r="21" spans="1:1" x14ac:dyDescent="0.2">
      <c r="A21" s="5" t="s">
        <v>15</v>
      </c>
    </row>
    <row r="22" spans="1:1" x14ac:dyDescent="0.2">
      <c r="A22" s="5" t="s">
        <v>16</v>
      </c>
    </row>
    <row r="23" spans="1:1" x14ac:dyDescent="0.2">
      <c r="A23" s="5" t="s">
        <v>17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"/>
  <sheetViews>
    <sheetView workbookViewId="0">
      <selection activeCell="C28" sqref="C28"/>
    </sheetView>
  </sheetViews>
  <sheetFormatPr baseColWidth="10" defaultColWidth="8.83203125" defaultRowHeight="15" x14ac:dyDescent="0.2"/>
  <cols>
    <col min="1" max="1" width="48" customWidth="1"/>
    <col min="2" max="2" width="14" customWidth="1"/>
    <col min="3" max="3" width="90" customWidth="1"/>
  </cols>
  <sheetData>
    <row r="1" spans="1:3" ht="18" x14ac:dyDescent="0.2">
      <c r="A1" s="1" t="s">
        <v>18</v>
      </c>
    </row>
    <row r="2" spans="1:3" x14ac:dyDescent="0.2">
      <c r="A2" s="2"/>
    </row>
    <row r="4" spans="1:3" x14ac:dyDescent="0.2">
      <c r="A4" s="8" t="s">
        <v>19</v>
      </c>
      <c r="B4" s="12">
        <f>Historicals!C8</f>
        <v>46309</v>
      </c>
      <c r="C4" s="38" t="s">
        <v>93</v>
      </c>
    </row>
    <row r="5" spans="1:3" x14ac:dyDescent="0.2">
      <c r="A5" s="13" t="s">
        <v>20</v>
      </c>
      <c r="B5" s="14" t="s">
        <v>21</v>
      </c>
      <c r="C5" s="14" t="s">
        <v>94</v>
      </c>
    </row>
    <row r="6" spans="1:3" x14ac:dyDescent="0.2">
      <c r="A6" s="5" t="s">
        <v>22</v>
      </c>
      <c r="B6" s="15">
        <v>0.03</v>
      </c>
      <c r="C6" s="38" t="s">
        <v>23</v>
      </c>
    </row>
    <row r="7" spans="1:3" x14ac:dyDescent="0.2">
      <c r="A7" s="5" t="s">
        <v>24</v>
      </c>
      <c r="B7" s="15">
        <v>0.03</v>
      </c>
      <c r="C7" s="38" t="s">
        <v>23</v>
      </c>
    </row>
    <row r="8" spans="1:3" x14ac:dyDescent="0.2">
      <c r="A8" s="5" t="s">
        <v>25</v>
      </c>
      <c r="B8" s="15">
        <v>9.7000000000000003E-2</v>
      </c>
      <c r="C8" s="38" t="s">
        <v>26</v>
      </c>
    </row>
    <row r="9" spans="1:3" x14ac:dyDescent="0.2">
      <c r="A9" s="5" t="s">
        <v>27</v>
      </c>
      <c r="B9" s="15">
        <v>9.7000000000000003E-2</v>
      </c>
      <c r="C9" s="38" t="s">
        <v>26</v>
      </c>
    </row>
    <row r="10" spans="1:3" x14ac:dyDescent="0.2">
      <c r="A10" s="5" t="s">
        <v>28</v>
      </c>
      <c r="B10" s="16">
        <v>1.67E-2</v>
      </c>
      <c r="C10" s="38" t="s">
        <v>29</v>
      </c>
    </row>
    <row r="11" spans="1:3" x14ac:dyDescent="0.2">
      <c r="A11" s="5" t="s">
        <v>30</v>
      </c>
      <c r="B11" s="16">
        <v>9.2999999999999992E-3</v>
      </c>
      <c r="C11" s="38" t="s">
        <v>31</v>
      </c>
    </row>
    <row r="12" spans="1:3" x14ac:dyDescent="0.2">
      <c r="A12" s="5" t="s">
        <v>32</v>
      </c>
      <c r="B12" s="16">
        <v>0.02</v>
      </c>
      <c r="C12" s="38" t="s">
        <v>33</v>
      </c>
    </row>
    <row r="13" spans="1:3" x14ac:dyDescent="0.2">
      <c r="A13" s="5" t="s">
        <v>34</v>
      </c>
      <c r="B13" s="16">
        <v>0.17100000000000001</v>
      </c>
      <c r="C13" s="38" t="s">
        <v>35</v>
      </c>
    </row>
    <row r="14" spans="1:3" x14ac:dyDescent="0.2">
      <c r="A14" s="5" t="s">
        <v>36</v>
      </c>
      <c r="B14" s="15">
        <v>0.08</v>
      </c>
      <c r="C14" s="38" t="s">
        <v>37</v>
      </c>
    </row>
    <row r="15" spans="1:3" x14ac:dyDescent="0.2">
      <c r="A15" s="5" t="s">
        <v>38</v>
      </c>
      <c r="B15" s="15">
        <v>2.5000000000000001E-2</v>
      </c>
      <c r="C15" s="38" t="s">
        <v>39</v>
      </c>
    </row>
    <row r="16" spans="1:3" x14ac:dyDescent="0.2">
      <c r="A16" s="5" t="s">
        <v>40</v>
      </c>
      <c r="B16" s="17">
        <v>502</v>
      </c>
      <c r="C16" s="38" t="s">
        <v>41</v>
      </c>
    </row>
    <row r="17" spans="1:3" x14ac:dyDescent="0.2">
      <c r="A17" s="5" t="s">
        <v>42</v>
      </c>
      <c r="B17" s="18">
        <v>1487.6</v>
      </c>
      <c r="C17" s="38" t="s">
        <v>43</v>
      </c>
    </row>
    <row r="18" spans="1:3" x14ac:dyDescent="0.2">
      <c r="A18" s="5" t="s">
        <v>2</v>
      </c>
      <c r="B18" s="19">
        <v>37.21</v>
      </c>
      <c r="C18" s="38" t="s">
        <v>44</v>
      </c>
    </row>
    <row r="19" spans="1:3" x14ac:dyDescent="0.2">
      <c r="C19" s="39"/>
    </row>
    <row r="20" spans="1:3" x14ac:dyDescent="0.2">
      <c r="A20" s="5" t="s">
        <v>45</v>
      </c>
      <c r="B20" s="10">
        <f>COUNT(DCF!D5:H5)</f>
        <v>5</v>
      </c>
      <c r="C20" s="38" t="s">
        <v>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B20" sqref="B20"/>
    </sheetView>
  </sheetViews>
  <sheetFormatPr baseColWidth="10" defaultColWidth="8.83203125" defaultRowHeight="15" x14ac:dyDescent="0.2"/>
  <cols>
    <col min="1" max="1" width="47" customWidth="1"/>
    <col min="3" max="3" width="14" customWidth="1"/>
    <col min="4" max="4" width="22" customWidth="1"/>
  </cols>
  <sheetData>
    <row r="1" spans="1:4" ht="18" x14ac:dyDescent="0.2">
      <c r="A1" s="1" t="s">
        <v>47</v>
      </c>
    </row>
    <row r="2" spans="1:4" x14ac:dyDescent="0.2">
      <c r="A2" s="2" t="s">
        <v>48</v>
      </c>
    </row>
    <row r="3" spans="1:4" x14ac:dyDescent="0.2">
      <c r="A3" s="13" t="s">
        <v>49</v>
      </c>
      <c r="B3" s="14"/>
      <c r="C3" s="14" t="s">
        <v>50</v>
      </c>
      <c r="D3" s="14" t="s">
        <v>51</v>
      </c>
    </row>
    <row r="4" spans="1:4" x14ac:dyDescent="0.2">
      <c r="A4" s="5" t="s">
        <v>52</v>
      </c>
      <c r="C4" s="17">
        <v>44538</v>
      </c>
    </row>
    <row r="5" spans="1:4" x14ac:dyDescent="0.2">
      <c r="A5" s="5" t="s">
        <v>53</v>
      </c>
      <c r="C5" s="17">
        <v>46710</v>
      </c>
      <c r="D5" s="20">
        <f>C5/C4-1</f>
        <v>4.8767344739323759E-2</v>
      </c>
    </row>
    <row r="6" spans="1:4" x14ac:dyDescent="0.2">
      <c r="A6" s="5" t="s">
        <v>54</v>
      </c>
      <c r="C6" s="17">
        <v>51217</v>
      </c>
      <c r="D6" s="20">
        <f>C6/C5-1</f>
        <v>9.6488974523656568E-2</v>
      </c>
    </row>
    <row r="7" spans="1:4" x14ac:dyDescent="0.2">
      <c r="A7" s="5" t="s">
        <v>55</v>
      </c>
      <c r="C7" s="17">
        <v>51362</v>
      </c>
      <c r="D7" s="20">
        <f>C7/C6-1</f>
        <v>2.8310912392370824E-3</v>
      </c>
    </row>
    <row r="8" spans="1:4" x14ac:dyDescent="0.2">
      <c r="A8" s="5" t="s">
        <v>56</v>
      </c>
      <c r="C8" s="17">
        <v>46309</v>
      </c>
      <c r="D8" s="20">
        <f>C8/C7-1</f>
        <v>-9.8380125384525563E-2</v>
      </c>
    </row>
    <row r="10" spans="1:4" x14ac:dyDescent="0.2">
      <c r="A10" s="8" t="s">
        <v>57</v>
      </c>
      <c r="D10" s="21">
        <f>(C8/C4)^(1/4)-1</f>
        <v>9.7960626755542179E-3</v>
      </c>
    </row>
    <row r="12" spans="1:4" x14ac:dyDescent="0.2">
      <c r="A12" s="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8"/>
  <sheetViews>
    <sheetView workbookViewId="0">
      <pane xSplit="2" ySplit="3" topLeftCell="C4" activePane="bottomRight" state="frozen"/>
      <selection pane="topRight"/>
      <selection pane="bottomLeft"/>
      <selection pane="bottomRight" activeCell="G27" sqref="G27"/>
    </sheetView>
  </sheetViews>
  <sheetFormatPr baseColWidth="10" defaultColWidth="8.83203125" defaultRowHeight="15" x14ac:dyDescent="0.2"/>
  <cols>
    <col min="1" max="1" width="46" customWidth="1"/>
    <col min="2" max="2" width="21.83203125" customWidth="1"/>
    <col min="3" max="3" width="39.33203125" customWidth="1"/>
    <col min="4" max="8" width="12" customWidth="1"/>
  </cols>
  <sheetData>
    <row r="1" spans="1:8" ht="18" x14ac:dyDescent="0.2">
      <c r="A1" s="1" t="s">
        <v>58</v>
      </c>
    </row>
    <row r="2" spans="1:8" x14ac:dyDescent="0.2">
      <c r="A2" s="2"/>
    </row>
    <row r="3" spans="1:8" x14ac:dyDescent="0.2">
      <c r="A3" s="13" t="s">
        <v>59</v>
      </c>
      <c r="B3" s="14"/>
      <c r="C3" s="22" t="s">
        <v>56</v>
      </c>
      <c r="D3" s="14" t="s">
        <v>60</v>
      </c>
      <c r="E3" s="14" t="s">
        <v>61</v>
      </c>
      <c r="F3" s="14" t="s">
        <v>62</v>
      </c>
      <c r="G3" s="14" t="s">
        <v>63</v>
      </c>
      <c r="H3" s="14" t="s">
        <v>64</v>
      </c>
    </row>
    <row r="5" spans="1:8" x14ac:dyDescent="0.2">
      <c r="A5" s="5" t="s">
        <v>65</v>
      </c>
      <c r="C5" s="9">
        <v>0</v>
      </c>
      <c r="D5" s="23">
        <v>1</v>
      </c>
      <c r="E5" s="23">
        <v>2</v>
      </c>
      <c r="F5" s="23">
        <v>3</v>
      </c>
      <c r="G5" s="23">
        <v>4</v>
      </c>
      <c r="H5" s="23">
        <v>5</v>
      </c>
    </row>
    <row r="7" spans="1:8" x14ac:dyDescent="0.2">
      <c r="A7" s="5" t="s">
        <v>66</v>
      </c>
      <c r="D7" s="20">
        <f>Inputs!$B$6+(Inputs!$B$7-Inputs!$B$6)*(D5-1)/MAX(Inputs!$B$20-1,1)</f>
        <v>0.03</v>
      </c>
      <c r="E7" s="20">
        <f>Inputs!$B$6+(Inputs!$B$7-Inputs!$B$6)*(E5-1)/MAX(Inputs!$B$20-1,1)</f>
        <v>0.03</v>
      </c>
      <c r="F7" s="20">
        <f>Inputs!$B$6+(Inputs!$B$7-Inputs!$B$6)*(F5-1)/MAX(Inputs!$B$20-1,1)</f>
        <v>0.03</v>
      </c>
      <c r="G7" s="20">
        <f>Inputs!$B$6+(Inputs!$B$7-Inputs!$B$6)*(G5-1)/MAX(Inputs!$B$20-1,1)</f>
        <v>0.03</v>
      </c>
      <c r="H7" s="20">
        <f>Inputs!$B$6+(Inputs!$B$7-Inputs!$B$6)*(H5-1)/MAX(Inputs!$B$20-1,1)</f>
        <v>0.03</v>
      </c>
    </row>
    <row r="8" spans="1:8" x14ac:dyDescent="0.2">
      <c r="A8" s="8" t="s">
        <v>50</v>
      </c>
      <c r="C8" s="12">
        <f>Inputs!$B$4</f>
        <v>46309</v>
      </c>
      <c r="D8" s="24">
        <f>C8*(1+D7)</f>
        <v>47698.270000000004</v>
      </c>
      <c r="E8" s="24">
        <f>D8*(1+E7)</f>
        <v>49129.218100000006</v>
      </c>
      <c r="F8" s="24">
        <f>E8*(1+F7)</f>
        <v>50603.094643000004</v>
      </c>
      <c r="G8" s="24">
        <f>F8*(1+G7)</f>
        <v>52121.187482290006</v>
      </c>
      <c r="H8" s="24">
        <f>G8*(1+H7)</f>
        <v>53684.823106758711</v>
      </c>
    </row>
    <row r="9" spans="1:8" x14ac:dyDescent="0.2">
      <c r="A9" s="5" t="s">
        <v>67</v>
      </c>
      <c r="D9" s="20">
        <f>Inputs!$B$8+(Inputs!$B$9-Inputs!$B$8)*(D5-1)/MAX(Inputs!$B$20-1,1)</f>
        <v>9.7000000000000003E-2</v>
      </c>
      <c r="E9" s="20">
        <f>Inputs!$B$8+(Inputs!$B$9-Inputs!$B$8)*(E5-1)/MAX(Inputs!$B$20-1,1)</f>
        <v>9.7000000000000003E-2</v>
      </c>
      <c r="F9" s="20">
        <f>Inputs!$B$8+(Inputs!$B$9-Inputs!$B$8)*(F5-1)/MAX(Inputs!$B$20-1,1)</f>
        <v>9.7000000000000003E-2</v>
      </c>
      <c r="G9" s="20">
        <f>Inputs!$B$8+(Inputs!$B$9-Inputs!$B$8)*(G5-1)/MAX(Inputs!$B$20-1,1)</f>
        <v>9.7000000000000003E-2</v>
      </c>
      <c r="H9" s="20">
        <f>Inputs!$B$8+(Inputs!$B$9-Inputs!$B$8)*(H5-1)/MAX(Inputs!$B$20-1,1)</f>
        <v>9.7000000000000003E-2</v>
      </c>
    </row>
    <row r="10" spans="1:8" x14ac:dyDescent="0.2">
      <c r="A10" s="5" t="s">
        <v>68</v>
      </c>
      <c r="D10" s="25">
        <f>D8*D9</f>
        <v>4626.7321900000006</v>
      </c>
      <c r="E10" s="25">
        <f>E8*E9</f>
        <v>4765.5341557000011</v>
      </c>
      <c r="F10" s="25">
        <f>F8*F9</f>
        <v>4908.5001803710002</v>
      </c>
      <c r="G10" s="25">
        <f>G8*G9</f>
        <v>5055.7551857821309</v>
      </c>
      <c r="H10" s="25">
        <f>H8*H9</f>
        <v>5207.4278413555949</v>
      </c>
    </row>
    <row r="11" spans="1:8" x14ac:dyDescent="0.2">
      <c r="A11" s="5" t="s">
        <v>69</v>
      </c>
      <c r="D11" s="25">
        <f>-D8*Inputs!$B$10</f>
        <v>-796.5611090000001</v>
      </c>
      <c r="E11" s="25">
        <f>-E8*Inputs!$B$10</f>
        <v>-820.4579422700001</v>
      </c>
      <c r="F11" s="25">
        <f>-F8*Inputs!$B$10</f>
        <v>-845.07168053810005</v>
      </c>
      <c r="G11" s="25">
        <f>-G8*Inputs!$B$10</f>
        <v>-870.42383095424304</v>
      </c>
      <c r="H11" s="25">
        <f>-H8*Inputs!$B$10</f>
        <v>-896.53654588287043</v>
      </c>
    </row>
    <row r="12" spans="1:8" x14ac:dyDescent="0.2">
      <c r="A12" s="26" t="s">
        <v>70</v>
      </c>
      <c r="B12" s="27"/>
      <c r="C12" s="27"/>
      <c r="D12" s="28">
        <f>D10+D11</f>
        <v>3830.1710810000004</v>
      </c>
      <c r="E12" s="28">
        <f>E10+E11</f>
        <v>3945.0762134300012</v>
      </c>
      <c r="F12" s="28">
        <f>F10+F11</f>
        <v>4063.4284998329003</v>
      </c>
      <c r="G12" s="28">
        <f>G10+G11</f>
        <v>4185.3313548278875</v>
      </c>
      <c r="H12" s="28">
        <f>H10+H11</f>
        <v>4310.8912954727248</v>
      </c>
    </row>
    <row r="13" spans="1:8" x14ac:dyDescent="0.2">
      <c r="A13" s="5" t="s">
        <v>71</v>
      </c>
      <c r="D13" s="25">
        <f>-D12*Inputs!$B$13</f>
        <v>-654.95925485100008</v>
      </c>
      <c r="E13" s="25">
        <f>-E12*Inputs!$B$13</f>
        <v>-674.6080324965302</v>
      </c>
      <c r="F13" s="25">
        <f>-F12*Inputs!$B$13</f>
        <v>-694.846273471426</v>
      </c>
      <c r="G13" s="25">
        <f>-G12*Inputs!$B$13</f>
        <v>-715.69166167556887</v>
      </c>
      <c r="H13" s="25">
        <f>-H12*Inputs!$B$13</f>
        <v>-737.16241152583598</v>
      </c>
    </row>
    <row r="14" spans="1:8" x14ac:dyDescent="0.2">
      <c r="A14" s="5" t="s">
        <v>72</v>
      </c>
      <c r="D14" s="25">
        <f>D12+D13</f>
        <v>3175.2118261490004</v>
      </c>
      <c r="E14" s="25">
        <f>E12+E13</f>
        <v>3270.4681809334711</v>
      </c>
      <c r="F14" s="25">
        <f>F12+F13</f>
        <v>3368.5822263614746</v>
      </c>
      <c r="G14" s="25">
        <f>G12+G13</f>
        <v>3469.6396931523186</v>
      </c>
      <c r="H14" s="25">
        <f>H12+H13</f>
        <v>3573.7288839468888</v>
      </c>
    </row>
    <row r="15" spans="1:8" x14ac:dyDescent="0.2">
      <c r="A15" s="5" t="s">
        <v>73</v>
      </c>
      <c r="D15" s="25">
        <f>-D11</f>
        <v>796.5611090000001</v>
      </c>
      <c r="E15" s="25">
        <f>-E11</f>
        <v>820.4579422700001</v>
      </c>
      <c r="F15" s="25">
        <f>-F11</f>
        <v>845.07168053810005</v>
      </c>
      <c r="G15" s="25">
        <f>-G11</f>
        <v>870.42383095424304</v>
      </c>
      <c r="H15" s="25">
        <f>-H11</f>
        <v>896.53654588287043</v>
      </c>
    </row>
    <row r="16" spans="1:8" x14ac:dyDescent="0.2">
      <c r="A16" s="5" t="s">
        <v>74</v>
      </c>
      <c r="D16" s="25">
        <f>-D8*Inputs!$B$11</f>
        <v>-443.59391099999999</v>
      </c>
      <c r="E16" s="25">
        <f>-E8*Inputs!$B$11</f>
        <v>-456.90172833000003</v>
      </c>
      <c r="F16" s="25">
        <f>-F8*Inputs!$B$11</f>
        <v>-470.60878017990001</v>
      </c>
      <c r="G16" s="25">
        <f>-G8*Inputs!$B$11</f>
        <v>-484.727043585297</v>
      </c>
      <c r="H16" s="25">
        <f>-H8*Inputs!$B$11</f>
        <v>-499.26885489285598</v>
      </c>
    </row>
    <row r="17" spans="1:8" x14ac:dyDescent="0.2">
      <c r="A17" s="5" t="s">
        <v>75</v>
      </c>
      <c r="D17" s="25">
        <f>-(D8-C8)*Inputs!$B$12</f>
        <v>-27.785400000000081</v>
      </c>
      <c r="E17" s="25">
        <f>-(E8-D8)*Inputs!$B$12</f>
        <v>-28.618962000000028</v>
      </c>
      <c r="F17" s="25">
        <f>-(F8-E8)*Inputs!$B$12</f>
        <v>-29.47753085999997</v>
      </c>
      <c r="G17" s="25">
        <f>-(G8-F8)*Inputs!$B$12</f>
        <v>-30.361856785800047</v>
      </c>
      <c r="H17" s="25">
        <f>-(H8-G8)*Inputs!$B$12</f>
        <v>-31.272712489374101</v>
      </c>
    </row>
    <row r="18" spans="1:8" x14ac:dyDescent="0.2">
      <c r="A18" s="26" t="s">
        <v>76</v>
      </c>
      <c r="B18" s="27"/>
      <c r="C18" s="27"/>
      <c r="D18" s="28">
        <f>D14+D15+D16+D17</f>
        <v>3500.3936241490005</v>
      </c>
      <c r="E18" s="28">
        <f>E14+E15+E16+E17</f>
        <v>3605.4054328734715</v>
      </c>
      <c r="F18" s="28">
        <f>F14+F15+F16+F17</f>
        <v>3713.5675958596744</v>
      </c>
      <c r="G18" s="28">
        <f>G14+G15+G16+G17</f>
        <v>3824.9746237354648</v>
      </c>
      <c r="H18" s="28">
        <f>H14+H15+H16+H17</f>
        <v>3939.7238624475294</v>
      </c>
    </row>
    <row r="20" spans="1:8" x14ac:dyDescent="0.2">
      <c r="A20" s="5" t="s">
        <v>77</v>
      </c>
      <c r="D20" s="29">
        <f>1/(1+Inputs!$B$14)^D5</f>
        <v>0.92592592592592582</v>
      </c>
      <c r="E20" s="29">
        <f>1/(1+Inputs!$B$14)^E5</f>
        <v>0.85733882030178321</v>
      </c>
      <c r="F20" s="29">
        <f>1/(1+Inputs!$B$14)^F5</f>
        <v>0.79383224102016958</v>
      </c>
      <c r="G20" s="29">
        <f>1/(1+Inputs!$B$14)^G5</f>
        <v>0.73502985279645328</v>
      </c>
      <c r="H20" s="29">
        <f>1/(1+Inputs!$B$14)^H5</f>
        <v>0.68058319703375303</v>
      </c>
    </row>
    <row r="21" spans="1:8" x14ac:dyDescent="0.2">
      <c r="A21" s="8" t="s">
        <v>78</v>
      </c>
      <c r="D21" s="24">
        <f>D18*D20</f>
        <v>3241.1052075453704</v>
      </c>
      <c r="E21" s="24">
        <f>E18*E20</f>
        <v>3091.0540405293818</v>
      </c>
      <c r="F21" s="24">
        <f>F18*F20</f>
        <v>2947.9496868011688</v>
      </c>
      <c r="G21" s="24">
        <f>G18*G20</f>
        <v>2811.4705346344481</v>
      </c>
      <c r="H21" s="24">
        <f>H18*H20</f>
        <v>2681.3098617347055</v>
      </c>
    </row>
    <row r="23" spans="1:8" x14ac:dyDescent="0.2">
      <c r="A23" s="13" t="s">
        <v>79</v>
      </c>
      <c r="B23" s="14"/>
      <c r="C23" s="14" t="s">
        <v>21</v>
      </c>
    </row>
    <row r="24" spans="1:8" x14ac:dyDescent="0.2">
      <c r="A24" s="5" t="s">
        <v>80</v>
      </c>
      <c r="C24" s="25">
        <f>SUM(D21:H21)</f>
        <v>14772.889331245075</v>
      </c>
    </row>
    <row r="25" spans="1:8" x14ac:dyDescent="0.2">
      <c r="A25" s="5" t="s">
        <v>81</v>
      </c>
      <c r="C25" s="25">
        <f>H18</f>
        <v>3939.7238624475294</v>
      </c>
    </row>
    <row r="26" spans="1:8" x14ac:dyDescent="0.2">
      <c r="A26" s="5" t="s">
        <v>82</v>
      </c>
      <c r="C26" s="12">
        <f>C25*(1+Inputs!$B$15)/(Inputs!$B$14-Inputs!$B$15)</f>
        <v>73422.126527431217</v>
      </c>
    </row>
    <row r="27" spans="1:8" x14ac:dyDescent="0.2">
      <c r="A27" s="5" t="s">
        <v>83</v>
      </c>
      <c r="C27" s="25">
        <f>C26*H20</f>
        <v>49969.865605055864</v>
      </c>
    </row>
    <row r="28" spans="1:8" x14ac:dyDescent="0.2">
      <c r="A28" s="8" t="s">
        <v>84</v>
      </c>
      <c r="C28" s="24">
        <f>C24+C27</f>
        <v>64742.754936300938</v>
      </c>
    </row>
    <row r="29" spans="1:8" x14ac:dyDescent="0.2">
      <c r="A29" s="5" t="s">
        <v>85</v>
      </c>
      <c r="C29" s="12">
        <f>-Inputs!$B$16</f>
        <v>-502</v>
      </c>
    </row>
    <row r="30" spans="1:8" x14ac:dyDescent="0.2">
      <c r="A30" s="8" t="s">
        <v>86</v>
      </c>
      <c r="C30" s="24">
        <f>C28+C29</f>
        <v>64240.754936300938</v>
      </c>
    </row>
    <row r="31" spans="1:8" x14ac:dyDescent="0.2">
      <c r="A31" s="5" t="s">
        <v>87</v>
      </c>
      <c r="C31" s="30">
        <f>Inputs!$B$17</f>
        <v>1487.6</v>
      </c>
    </row>
    <row r="32" spans="1:8" x14ac:dyDescent="0.2">
      <c r="A32" s="8" t="s">
        <v>1</v>
      </c>
      <c r="C32" s="31">
        <f>C30/C31</f>
        <v>43.184159005311201</v>
      </c>
    </row>
    <row r="33" spans="1:3" x14ac:dyDescent="0.2">
      <c r="A33" s="5" t="s">
        <v>2</v>
      </c>
      <c r="C33" s="6">
        <f>Inputs!$B$18</f>
        <v>37.21</v>
      </c>
    </row>
    <row r="34" spans="1:3" x14ac:dyDescent="0.2">
      <c r="A34" s="5" t="s">
        <v>3</v>
      </c>
      <c r="C34" s="20">
        <f>C33/C32-1</f>
        <v>-0.13834144609777954</v>
      </c>
    </row>
    <row r="35" spans="1:3" x14ac:dyDescent="0.2">
      <c r="A35" s="5" t="s">
        <v>88</v>
      </c>
      <c r="C35" s="20">
        <f>C27/C28</f>
        <v>0.77182173749356486</v>
      </c>
    </row>
    <row r="37" spans="1:3" x14ac:dyDescent="0.2">
      <c r="A37" s="32" t="s">
        <v>89</v>
      </c>
      <c r="C37" s="33">
        <v>43.18</v>
      </c>
    </row>
    <row r="38" spans="1:3" x14ac:dyDescent="0.2">
      <c r="A38" s="32" t="s">
        <v>90</v>
      </c>
      <c r="C38" s="34">
        <f>C32-C37</f>
        <v>4.1590053112017245E-3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tabSelected="1" workbookViewId="0">
      <selection activeCell="C29" sqref="C29"/>
    </sheetView>
  </sheetViews>
  <sheetFormatPr baseColWidth="10" defaultColWidth="8.83203125" defaultRowHeight="15" x14ac:dyDescent="0.2"/>
  <cols>
    <col min="1" max="1" width="67.5" customWidth="1"/>
    <col min="2" max="6" width="13" customWidth="1"/>
  </cols>
  <sheetData>
    <row r="1" spans="1:6" ht="18" x14ac:dyDescent="0.2">
      <c r="A1" s="1" t="s">
        <v>91</v>
      </c>
    </row>
    <row r="2" spans="1:6" x14ac:dyDescent="0.2">
      <c r="A2" s="2"/>
    </row>
    <row r="4" spans="1:6" x14ac:dyDescent="0.2">
      <c r="A4" s="22" t="s">
        <v>92</v>
      </c>
      <c r="B4" s="35">
        <f>Inputs!$B$15+(-0.01)</f>
        <v>1.5000000000000001E-2</v>
      </c>
      <c r="C4" s="35">
        <f>Inputs!$B$15+(-0.005)</f>
        <v>0.02</v>
      </c>
      <c r="D4" s="35">
        <f>Inputs!$B$15+(0)</f>
        <v>2.5000000000000001E-2</v>
      </c>
      <c r="E4" s="35">
        <f>Inputs!$B$15+(0.005)</f>
        <v>3.0000000000000002E-2</v>
      </c>
      <c r="F4" s="35">
        <f>Inputs!$B$15+(0.01)</f>
        <v>3.5000000000000003E-2</v>
      </c>
    </row>
    <row r="5" spans="1:6" x14ac:dyDescent="0.2">
      <c r="A5" s="36">
        <f>Inputs!$B$14+(-0.02)</f>
        <v>0.06</v>
      </c>
      <c r="B5" s="37">
        <f>(SUMPRODUCT(DCF!$D$18:$H$18/(1+$A5)^DCF!$D$5:$H$5)+DCF!$H$18*(1+B$4)/($A5-B$4)/(1+$A5)^Inputs!$B$20-Inputs!$B$16)/Inputs!$B$17</f>
        <v>54.789000672931003</v>
      </c>
      <c r="C5" s="37">
        <f>(SUMPRODUCT(DCF!$D$18:$H$18/(1+$A5)^DCF!$D$5:$H$5)+DCF!$H$18*(1+C$4)/($A5-C$4)/(1+$A5)^Inputs!$B$20-Inputs!$B$16)/Inputs!$B$17</f>
        <v>60.616116508938873</v>
      </c>
      <c r="D5" s="37">
        <f>(SUMPRODUCT(DCF!$D$18:$H$18/(1+$A5)^DCF!$D$5:$H$5)+DCF!$H$18*(1+D$4)/($A5-D$4)/(1+$A5)^Inputs!$B$20-Inputs!$B$16)/Inputs!$B$17</f>
        <v>68.108122583806107</v>
      </c>
      <c r="E5" s="37">
        <f>(SUMPRODUCT(DCF!$D$18:$H$18/(1+$A5)^DCF!$D$5:$H$5)+DCF!$H$18*(1+E$4)/($A5-E$4)/(1+$A5)^Inputs!$B$20-Inputs!$B$16)/Inputs!$B$17</f>
        <v>78.097464016962462</v>
      </c>
      <c r="F5" s="37">
        <f>(SUMPRODUCT(DCF!$D$18:$H$18/(1+$A5)^DCF!$D$5:$H$5)+DCF!$H$18*(1+F$4)/($A5-F$4)/(1+$A5)^Inputs!$B$20-Inputs!$B$16)/Inputs!$B$17</f>
        <v>92.082542023381336</v>
      </c>
    </row>
    <row r="6" spans="1:6" x14ac:dyDescent="0.2">
      <c r="A6" s="36">
        <f>Inputs!$B$14+(-0.01)</f>
        <v>7.0000000000000007E-2</v>
      </c>
      <c r="B6" s="37">
        <f>(SUMPRODUCT(DCF!$D$18:$H$18/(1+$A6)^DCF!$D$5:$H$5)+DCF!$H$18*(1+B$4)/($A6-B$4)/(1+$A6)^Inputs!$B$20-Inputs!$B$16)/Inputs!$B$17</f>
        <v>44.713052829583944</v>
      </c>
      <c r="C6" s="37">
        <f>(SUMPRODUCT(DCF!$D$18:$H$18/(1+$A6)^DCF!$D$5:$H$5)+DCF!$H$18*(1+C$4)/($A6-C$4)/(1+$A6)^Inputs!$B$20-Inputs!$B$16)/Inputs!$B$17</f>
        <v>48.386567791390171</v>
      </c>
      <c r="D6" s="37">
        <f>(SUMPRODUCT(DCF!$D$18:$H$18/(1+$A6)^DCF!$D$5:$H$5)+DCF!$H$18*(1+D$4)/($A6-D$4)/(1+$A6)^Inputs!$B$20-Inputs!$B$16)/Inputs!$B$17</f>
        <v>52.876419411375522</v>
      </c>
      <c r="E6" s="37">
        <f>(SUMPRODUCT(DCF!$D$18:$H$18/(1+$A6)^DCF!$D$5:$H$5)+DCF!$H$18*(1+E$4)/($A6-E$4)/(1+$A6)^Inputs!$B$20-Inputs!$B$16)/Inputs!$B$17</f>
        <v>58.488733936357228</v>
      </c>
      <c r="F6" s="37">
        <f>(SUMPRODUCT(DCF!$D$18:$H$18/(1+$A6)^DCF!$D$5:$H$5)+DCF!$H$18*(1+F$4)/($A6-F$4)/(1+$A6)^Inputs!$B$20-Inputs!$B$16)/Inputs!$B$17</f>
        <v>65.704566897047982</v>
      </c>
    </row>
    <row r="7" spans="1:6" x14ac:dyDescent="0.2">
      <c r="A7" s="36">
        <f>Inputs!$B$14+(0)</f>
        <v>0.08</v>
      </c>
      <c r="B7" s="37">
        <f>(SUMPRODUCT(DCF!$D$18:$H$18/(1+$A7)^DCF!$D$5:$H$5)+DCF!$H$18*(1+B$4)/($A7-B$4)/(1+$A7)^Inputs!$B$20-Inputs!$B$16)/Inputs!$B$17</f>
        <v>37.739025339645224</v>
      </c>
      <c r="C7" s="37">
        <f>(SUMPRODUCT(DCF!$D$18:$H$18/(1+$A7)^DCF!$D$5:$H$5)+DCF!$H$18*(1+C$4)/($A7-C$4)/(1+$A7)^Inputs!$B$20-Inputs!$B$16)/Inputs!$B$17</f>
        <v>40.234711603075475</v>
      </c>
      <c r="D7" s="31">
        <f>(SUMPRODUCT(DCF!$D$18:$H$18/(1+$A7)^DCF!$D$5:$H$5)+DCF!$H$18*(1+D$4)/($A7-D$4)/(1+$A7)^Inputs!$B$20-Inputs!$B$16)/Inputs!$B$17</f>
        <v>43.184159005311201</v>
      </c>
      <c r="E7" s="37">
        <f>(SUMPRODUCT(DCF!$D$18:$H$18/(1+$A7)^DCF!$D$5:$H$5)+DCF!$H$18*(1+E$4)/($A7-E$4)/(1+$A7)^Inputs!$B$20-Inputs!$B$16)/Inputs!$B$17</f>
        <v>46.723495887994083</v>
      </c>
      <c r="F7" s="37">
        <f>(SUMPRODUCT(DCF!$D$18:$H$18/(1+$A7)^DCF!$D$5:$H$5)+DCF!$H$18*(1+F$4)/($A7-F$4)/(1+$A7)^Inputs!$B$20-Inputs!$B$16)/Inputs!$B$17</f>
        <v>51.049352077939837</v>
      </c>
    </row>
    <row r="8" spans="1:6" x14ac:dyDescent="0.2">
      <c r="A8" s="36">
        <f>Inputs!$B$14+(0.01)</f>
        <v>0.09</v>
      </c>
      <c r="B8" s="37">
        <f>(SUMPRODUCT(DCF!$D$18:$H$18/(1+$A8)^DCF!$D$5:$H$5)+DCF!$H$18*(1+B$4)/($A8-B$4)/(1+$A8)^Inputs!$B$20-Inputs!$B$16)/Inputs!$B$17</f>
        <v>32.626083203262567</v>
      </c>
      <c r="C8" s="37">
        <f>(SUMPRODUCT(DCF!$D$18:$H$18/(1+$A8)^DCF!$D$5:$H$5)+DCF!$H$18*(1+C$4)/($A8-C$4)/(1+$A8)^Inputs!$B$20-Inputs!$B$16)/Inputs!$B$17</f>
        <v>34.412917675402412</v>
      </c>
      <c r="D8" s="37">
        <f>(SUMPRODUCT(DCF!$D$18:$H$18/(1+$A8)^DCF!$D$5:$H$5)+DCF!$H$18*(1+D$4)/($A8-D$4)/(1+$A8)^Inputs!$B$20-Inputs!$B$16)/Inputs!$B$17</f>
        <v>36.47464975864068</v>
      </c>
      <c r="E8" s="37">
        <f>(SUMPRODUCT(DCF!$D$18:$H$18/(1+$A8)^DCF!$D$5:$H$5)+DCF!$H$18*(1+E$4)/($A8-E$4)/(1+$A8)^Inputs!$B$20-Inputs!$B$16)/Inputs!$B$17</f>
        <v>38.880003855752001</v>
      </c>
      <c r="F8" s="37">
        <f>(SUMPRODUCT(DCF!$D$18:$H$18/(1+$A8)^DCF!$D$5:$H$5)+DCF!$H$18*(1+F$4)/($A8-F$4)/(1+$A8)^Inputs!$B$20-Inputs!$B$16)/Inputs!$B$17</f>
        <v>41.722695061429008</v>
      </c>
    </row>
    <row r="9" spans="1:6" x14ac:dyDescent="0.2">
      <c r="A9" s="36">
        <f>Inputs!$B$14+(0.02)</f>
        <v>0.1</v>
      </c>
      <c r="B9" s="37">
        <f>(SUMPRODUCT(DCF!$D$18:$H$18/(1+$A9)^DCF!$D$5:$H$5)+DCF!$H$18*(1+B$4)/($A9-B$4)/(1+$A9)^Inputs!$B$20-Inputs!$B$16)/Inputs!$B$17</f>
        <v>28.717317152386602</v>
      </c>
      <c r="C9" s="37">
        <f>(SUMPRODUCT(DCF!$D$18:$H$18/(1+$A9)^DCF!$D$5:$H$5)+DCF!$H$18*(1+C$4)/($A9-C$4)/(1+$A9)^Inputs!$B$20-Inputs!$B$16)/Inputs!$B$17</f>
        <v>30.04737326748441</v>
      </c>
      <c r="D9" s="37">
        <f>(SUMPRODUCT(DCF!$D$18:$H$18/(1+$A9)^DCF!$D$5:$H$5)+DCF!$H$18*(1+D$4)/($A9-D$4)/(1+$A9)^Inputs!$B$20-Inputs!$B$16)/Inputs!$B$17</f>
        <v>31.55477019792858</v>
      </c>
      <c r="E9" s="37">
        <f>(SUMPRODUCT(DCF!$D$18:$H$18/(1+$A9)^DCF!$D$5:$H$5)+DCF!$H$18*(1+E$4)/($A9-E$4)/(1+$A9)^Inputs!$B$20-Inputs!$B$16)/Inputs!$B$17</f>
        <v>33.277509547007647</v>
      </c>
      <c r="F9" s="37">
        <f>(SUMPRODUCT(DCF!$D$18:$H$18/(1+$A9)^DCF!$D$5:$H$5)+DCF!$H$18*(1+F$4)/($A9-F$4)/(1+$A9)^Inputs!$B$20-Inputs!$B$16)/Inputs!$B$17</f>
        <v>35.265285719021946</v>
      </c>
    </row>
    <row r="11" spans="1:6" x14ac:dyDescent="0.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Inputs</vt:lpstr>
      <vt:lpstr>Historicals</vt:lpstr>
      <vt:lpstr>DCF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Rishit Jain - ENR01177</cp:lastModifiedBy>
  <dcterms:created xsi:type="dcterms:W3CDTF">2026-10-20T09:11:18Z</dcterms:created>
  <dcterms:modified xsi:type="dcterms:W3CDTF">2026-10-21T03:27:13Z</dcterms:modified>
</cp:coreProperties>
</file>