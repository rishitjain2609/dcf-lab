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nputs" sheetId="2" state="visible" r:id="rId2"/>
    <sheet name="Historicals" sheetId="3" state="visible" r:id="rId3"/>
    <sheet name="DCF" sheetId="4" state="visible" r:id="rId4"/>
    <sheet name="Sensitiv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;&quot;-&quot;"/>
    <numFmt numFmtId="165" formatCode="0.0%;(0.0%);&quot;-&quot;"/>
    <numFmt numFmtId="166" formatCode="#,##0.0"/>
    <numFmt numFmtId="167" formatCode="&quot;$&quot;0.00"/>
    <numFmt numFmtId="168" formatCode="0.0000"/>
    <numFmt numFmtId="169" formatCode="0.00;(0.00);&quot;-&quot;"/>
  </numFmts>
  <fonts count="12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i val="1"/>
      <color rgb="00555555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000000"/>
      <sz val="10"/>
    </font>
    <font>
      <name val="Arial"/>
      <i val="1"/>
      <color rgb="000000FF"/>
      <sz val="10"/>
    </font>
    <font>
      <name val="Arial"/>
      <b val="1"/>
      <color rgb="00000000"/>
      <sz val="12"/>
    </font>
    <font>
      <name val="Arial"/>
      <b val="1"/>
      <color rgb="00008000"/>
      <sz val="12"/>
    </font>
  </fonts>
  <fills count="5">
    <fill>
      <patternFill/>
    </fill>
    <fill>
      <patternFill patternType="gray125"/>
    </fill>
    <fill>
      <patternFill patternType="solid">
        <fgColor rgb="00133621"/>
      </patternFill>
    </fill>
    <fill>
      <patternFill patternType="solid">
        <fgColor rgb="00FFFF00"/>
      </patternFill>
    </fill>
    <fill>
      <patternFill patternType="solid">
        <fgColor rgb="00EDEDE6"/>
      </patternFill>
    </fill>
  </fills>
  <borders count="2">
    <border>
      <left/>
      <right/>
      <top/>
      <bottom/>
      <diagonal/>
    </border>
    <border>
      <top style="thin">
        <color rgb="00999999"/>
      </top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167" fontId="11" fillId="0" borderId="0" pivotButton="0" quotePrefix="0" xfId="0"/>
    <xf numFmtId="0" fontId="6" fillId="0" borderId="0" pivotButton="0" quotePrefix="0" xfId="0"/>
    <xf numFmtId="167" fontId="4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4" fillId="0" borderId="0" pivotButton="0" quotePrefix="0" xfId="0"/>
    <xf numFmtId="0" fontId="6" fillId="3" borderId="0" pivotButton="0" quotePrefix="0" xfId="0"/>
    <xf numFmtId="164" fontId="4" fillId="0" borderId="0" pivotButton="0" quotePrefix="0" xfId="0"/>
    <xf numFmtId="0" fontId="5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165" fontId="7" fillId="3" borderId="0" pivotButton="0" quotePrefix="0" xfId="0"/>
    <xf numFmtId="165" fontId="7" fillId="0" borderId="0" pivotButton="0" quotePrefix="0" xfId="0"/>
    <xf numFmtId="164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5" fontId="6" fillId="0" borderId="0" pivotButton="0" quotePrefix="0" xfId="0"/>
    <xf numFmtId="165" fontId="3" fillId="0" borderId="0" pivotButton="0" quotePrefix="0" xfId="0"/>
    <xf numFmtId="0" fontId="5" fillId="2" borderId="0" pivotButton="0" quotePrefix="0" xfId="0"/>
    <xf numFmtId="1" fontId="7" fillId="0" borderId="0" pivotButton="0" quotePrefix="0" xfId="0"/>
    <xf numFmtId="164" fontId="3" fillId="0" borderId="0" pivotButton="0" quotePrefix="0" xfId="0"/>
    <xf numFmtId="164" fontId="6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4" fontId="3" fillId="0" borderId="1" pivotButton="0" quotePrefix="0" xfId="0"/>
    <xf numFmtId="168" fontId="6" fillId="0" borderId="0" pivotButton="0" quotePrefix="0" xfId="0"/>
    <xf numFmtId="166" fontId="4" fillId="0" borderId="0" pivotButton="0" quotePrefix="0" xfId="0"/>
    <xf numFmtId="167" fontId="3" fillId="3" borderId="0" pivotButton="0" quotePrefix="0" xfId="0"/>
    <xf numFmtId="0" fontId="8" fillId="0" borderId="0" pivotButton="0" quotePrefix="0" xfId="0"/>
    <xf numFmtId="167" fontId="9" fillId="0" borderId="0" pivotButton="0" quotePrefix="0" xfId="0"/>
    <xf numFmtId="169" fontId="8" fillId="0" borderId="0" pivotButton="0" quotePrefix="0" xfId="0"/>
    <xf numFmtId="165" fontId="5" fillId="2" borderId="0" pivotButton="0" quotePrefix="0" xfId="0"/>
    <xf numFmtId="165" fontId="3" fillId="4" borderId="0" pivotButton="0" quotePrefix="0" xfId="0"/>
    <xf numFmtId="167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DCF Lab</author>
  </authors>
  <commentList>
    <comment ref="A4" authorId="0" shapeId="0">
      <text>
        <t>Linked from the DCF sheet's valuation block.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20" customWidth="1" min="1" max="1"/>
    <col width="14" customWidth="1" min="2" max="2"/>
  </cols>
  <sheetData>
    <row r="1">
      <c r="A1" s="1" t="inlineStr">
        <is>
          <t>Nike Inc (NYSE: NKE): DCF model</t>
        </is>
      </c>
    </row>
    <row r="2">
      <c r="A2" s="2" t="inlineStr">
        <is>
          <t>DCF Lab, by Rishit Jain. Educational use, not investment advice.</t>
        </is>
      </c>
    </row>
    <row r="4">
      <c r="A4" s="3" t="inlineStr">
        <is>
          <t>Implied value per share</t>
        </is>
      </c>
      <c r="B4" s="4">
        <f>DCF!$C$32</f>
        <v/>
      </c>
    </row>
    <row r="5">
      <c r="A5" s="5" t="inlineStr">
        <is>
          <t>Share price at publish</t>
        </is>
      </c>
      <c r="B5" s="6">
        <f>Inputs!$B$18</f>
        <v/>
      </c>
    </row>
    <row r="6">
      <c r="A6" s="5" t="inlineStr">
        <is>
          <t>Price vs implied value</t>
        </is>
      </c>
      <c r="B6" s="7">
        <f>B5/B4-1</f>
        <v/>
      </c>
    </row>
    <row r="8">
      <c r="A8" s="8" t="inlineStr">
        <is>
          <t>How the workbook is built</t>
        </is>
      </c>
    </row>
    <row r="9">
      <c r="A9" s="5" t="inlineStr">
        <is>
          <t>Inputs: every assumption in one place, with its source. Change a blue cell and the whole model updates.</t>
        </is>
      </c>
    </row>
    <row r="10">
      <c r="A10" s="5" t="inlineStr">
        <is>
          <t>Historicals: reported revenue and the growth rate behind the forecast.</t>
        </is>
      </c>
    </row>
    <row r="11">
      <c r="A11" s="5" t="inlineStr">
        <is>
          <t>DCF: 5-year forecast from revenue down to unlevered free cash flow, discounted at WACC, plus a Gordon growth terminal value, then the bridge from enterprise value to value per share.</t>
        </is>
      </c>
    </row>
    <row r="12">
      <c r="A12" s="5" t="inlineStr">
        <is>
          <t>Sensitivity: implied value per share across a range of WACC and terminal growth rates.</t>
        </is>
      </c>
    </row>
    <row r="14">
      <c r="A14" s="8" t="inlineStr">
        <is>
          <t>Colour key</t>
        </is>
      </c>
    </row>
    <row r="15">
      <c r="A15" s="9" t="inlineStr">
        <is>
          <t>Blue text: hardcoded input you can change</t>
        </is>
      </c>
    </row>
    <row r="16">
      <c r="A16" s="5" t="inlineStr">
        <is>
          <t>Black text: formula</t>
        </is>
      </c>
    </row>
    <row r="17">
      <c r="A17" s="10" t="inlineStr">
        <is>
          <t>Green text: linked from another sheet</t>
        </is>
      </c>
    </row>
    <row r="18">
      <c r="A18" s="11" t="inlineStr">
        <is>
          <t>Yellow fill: key assumption or headline result</t>
        </is>
      </c>
    </row>
    <row r="20">
      <c r="A20" s="8" t="inlineStr">
        <is>
          <t>Sources</t>
        </is>
      </c>
    </row>
    <row r="21">
      <c r="A21" s="5" t="inlineStr">
        <is>
          <t>Revenue FY21-FY25, EBITDA margin, D&amp;A, capex and tax rate: Nike FY2025 Form 10-K (fiscal year ended May 31, 2025), SEC EDGAR.</t>
        </is>
      </c>
    </row>
    <row r="22">
      <c r="A22" s="5" t="inlineStr">
        <is>
          <t>Net debt, diluted shares, share price: stockanalysis.com, close of Oct 19, 2026.</t>
        </is>
      </c>
    </row>
    <row r="23">
      <c r="A23" s="5" t="inlineStr">
        <is>
          <t>Growth path, WACC and terminal growth: this model's own estimates.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90" customWidth="1" min="3" max="3"/>
  </cols>
  <sheetData>
    <row r="1">
      <c r="A1" s="1" t="inlineStr">
        <is>
          <t>Nike Inc DCF: inputs</t>
        </is>
      </c>
    </row>
    <row r="2">
      <c r="A2" s="2" t="inlineStr">
        <is>
          <t>All money in $ millions; shares in millions. Blue cells are inputs you can change.</t>
        </is>
      </c>
    </row>
    <row r="4">
      <c r="A4" s="8" t="inlineStr">
        <is>
          <t>Base year revenue</t>
        </is>
      </c>
      <c r="B4" s="12">
        <f>Historicals!C8</f>
        <v/>
      </c>
      <c r="C4" s="2" t="inlineStr">
        <is>
          <t>FY25 revenue, linked from the Historicals sheet.</t>
        </is>
      </c>
    </row>
    <row r="5">
      <c r="A5" s="13" t="inlineStr">
        <is>
          <t>Assumption</t>
        </is>
      </c>
      <c r="B5" s="14" t="inlineStr">
        <is>
          <t>Value</t>
        </is>
      </c>
      <c r="C5" s="14" t="inlineStr">
        <is>
          <t>Source / note</t>
        </is>
      </c>
    </row>
    <row r="6">
      <c r="A6" s="5" t="inlineStr">
        <is>
          <t>Revenue growth, year 1</t>
        </is>
      </c>
      <c r="B6" s="15" t="n">
        <v>0.03</v>
      </c>
      <c r="C6" s="2" t="inlineStr">
        <is>
          <t>Model estimate. Held flat at 3% a year: no turnaround assumed.</t>
        </is>
      </c>
    </row>
    <row r="7">
      <c r="A7" s="5" t="inlineStr">
        <is>
          <t>Revenue growth, final year</t>
        </is>
      </c>
      <c r="B7" s="15" t="n">
        <v>0.03</v>
      </c>
      <c r="C7" s="2" t="inlineStr">
        <is>
          <t>Model estimate. Held flat at 3% a year: no turnaround assumed.</t>
        </is>
      </c>
    </row>
    <row r="8">
      <c r="A8" s="5" t="inlineStr">
        <is>
          <t>EBITDA margin, year 1</t>
        </is>
      </c>
      <c r="B8" s="15" t="n">
        <v>0.097</v>
      </c>
      <c r="C8" s="2" t="inlineStr">
        <is>
          <t>FY25 EBITDA margin from the 10-K: operating income $3.7B plus $775M D&amp;A, over $46.3B revenue.</t>
        </is>
      </c>
    </row>
    <row r="9">
      <c r="A9" s="5" t="inlineStr">
        <is>
          <t>EBITDA margin, final year</t>
        </is>
      </c>
      <c r="B9" s="15" t="n">
        <v>0.097</v>
      </c>
      <c r="C9" s="2" t="inlineStr">
        <is>
          <t>FY25 EBITDA margin from the 10-K: operating income $3.7B plus $775M D&amp;A, over $46.3B revenue.</t>
        </is>
      </c>
    </row>
    <row r="10">
      <c r="A10" s="5" t="inlineStr">
        <is>
          <t>D&amp;A, % of revenue</t>
        </is>
      </c>
      <c r="B10" s="16" t="n">
        <v>0.0167</v>
      </c>
      <c r="C10" s="2" t="inlineStr">
        <is>
          <t>FY25 D&amp;A of $775M over revenue, Nike 10-K.</t>
        </is>
      </c>
    </row>
    <row r="11">
      <c r="A11" s="5" t="inlineStr">
        <is>
          <t>Capex, % of revenue</t>
        </is>
      </c>
      <c r="B11" s="16" t="n">
        <v>0.009299999999999999</v>
      </c>
      <c r="C11" s="2" t="inlineStr">
        <is>
          <t>FY25 capital expenditure over revenue, Nike 10-K.</t>
        </is>
      </c>
    </row>
    <row r="12">
      <c r="A12" s="5" t="inlineStr">
        <is>
          <t>Increase in working capital, % of revenue increase</t>
        </is>
      </c>
      <c r="B12" s="16" t="n">
        <v>0.02</v>
      </c>
      <c r="C12" s="2" t="inlineStr">
        <is>
          <t>Model estimate: working capital absorbs 2% of each year's revenue increase.</t>
        </is>
      </c>
    </row>
    <row r="13">
      <c r="A13" s="5" t="inlineStr">
        <is>
          <t>Tax rate</t>
        </is>
      </c>
      <c r="B13" s="16" t="n">
        <v>0.171</v>
      </c>
      <c r="C13" s="2" t="inlineStr">
        <is>
          <t>FY25 effective tax rate, Nike 10-K.</t>
        </is>
      </c>
    </row>
    <row r="14">
      <c r="A14" s="5" t="inlineStr">
        <is>
          <t>WACC (discount rate)</t>
        </is>
      </c>
      <c r="B14" s="15" t="n">
        <v>0.08</v>
      </c>
      <c r="C14" s="2" t="inlineStr">
        <is>
          <t>Model estimate.</t>
        </is>
      </c>
    </row>
    <row r="15">
      <c r="A15" s="5" t="inlineStr">
        <is>
          <t>Terminal growth rate</t>
        </is>
      </c>
      <c r="B15" s="15" t="n">
        <v>0.025</v>
      </c>
      <c r="C15" s="2" t="inlineStr">
        <is>
          <t>Model estimate, roughly long-run US nominal growth.</t>
        </is>
      </c>
    </row>
    <row r="16">
      <c r="A16" s="5" t="inlineStr">
        <is>
          <t>Net debt (negative = net cash)</t>
        </is>
      </c>
      <c r="B16" s="17" t="n">
        <v>502</v>
      </c>
      <c r="C16" s="2" t="inlineStr">
        <is>
          <t>Total debt less cash and short-term investments, stockanalysis.com.</t>
        </is>
      </c>
    </row>
    <row r="17">
      <c r="A17" s="5" t="inlineStr">
        <is>
          <t>Diluted shares</t>
        </is>
      </c>
      <c r="B17" s="18" t="n">
        <v>1487.6</v>
      </c>
      <c r="C17" s="2" t="inlineStr">
        <is>
          <t>Diluted shares, stockanalysis.com.</t>
        </is>
      </c>
    </row>
    <row r="18">
      <c r="A18" s="5" t="inlineStr">
        <is>
          <t>Share price at publish</t>
        </is>
      </c>
      <c r="B18" s="19" t="n">
        <v>37.21</v>
      </c>
      <c r="C18" s="2" t="inlineStr">
        <is>
          <t>Close of Oct 19, 2026, stockanalysis.com.</t>
        </is>
      </c>
    </row>
    <row r="20">
      <c r="A20" s="5" t="inlineStr">
        <is>
          <t>Forecast years</t>
        </is>
      </c>
      <c r="B20" s="10">
        <f>COUNT(DCF!D5:H5)</f>
        <v/>
      </c>
      <c r="C20" s="2" t="inlineStr">
        <is>
          <t>Counted from the DCF sheet's year row.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3" max="3"/>
    <col width="22" customWidth="1" min="4" max="4"/>
  </cols>
  <sheetData>
    <row r="1">
      <c r="A1" s="1" t="inlineStr">
        <is>
          <t>Nike Inc: revenue history</t>
        </is>
      </c>
    </row>
    <row r="2">
      <c r="A2" s="2" t="inlineStr">
        <is>
          <t>$ millions</t>
        </is>
      </c>
    </row>
    <row r="3">
      <c r="A3" s="13" t="inlineStr">
        <is>
          <t>Fiscal year</t>
        </is>
      </c>
      <c r="B3" s="14" t="inlineStr"/>
      <c r="C3" s="14" t="inlineStr">
        <is>
          <t>Revenue</t>
        </is>
      </c>
      <c r="D3" s="14" t="inlineStr">
        <is>
          <t>Growth vs prior year</t>
        </is>
      </c>
    </row>
    <row r="4">
      <c r="A4" s="5" t="inlineStr">
        <is>
          <t>FY21</t>
        </is>
      </c>
      <c r="C4" s="17" t="n">
        <v>44538</v>
      </c>
    </row>
    <row r="5">
      <c r="A5" s="5" t="inlineStr">
        <is>
          <t>FY22</t>
        </is>
      </c>
      <c r="C5" s="17" t="n">
        <v>46710</v>
      </c>
      <c r="D5" s="20">
        <f>C5/C4-1</f>
        <v/>
      </c>
    </row>
    <row r="6">
      <c r="A6" s="5" t="inlineStr">
        <is>
          <t>FY23</t>
        </is>
      </c>
      <c r="C6" s="17" t="n">
        <v>51217</v>
      </c>
      <c r="D6" s="20">
        <f>C6/C5-1</f>
        <v/>
      </c>
    </row>
    <row r="7">
      <c r="A7" s="5" t="inlineStr">
        <is>
          <t>FY24</t>
        </is>
      </c>
      <c r="C7" s="17" t="n">
        <v>51362</v>
      </c>
      <c r="D7" s="20">
        <f>C7/C6-1</f>
        <v/>
      </c>
    </row>
    <row r="8">
      <c r="A8" s="5" t="inlineStr">
        <is>
          <t>FY25</t>
        </is>
      </c>
      <c r="C8" s="17" t="n">
        <v>46309</v>
      </c>
      <c r="D8" s="20">
        <f>C8/C7-1</f>
        <v/>
      </c>
    </row>
    <row r="10">
      <c r="A10" s="8" t="inlineStr">
        <is>
          <t>4-year revenue CAGR</t>
        </is>
      </c>
      <c r="D10" s="21">
        <f>(C8/C4)^(1/4)-1</f>
        <v/>
      </c>
    </row>
    <row r="12">
      <c r="A12" s="2" t="inlineStr">
        <is>
          <t>Source: Revenue FY21-FY25, EBITDA margin, D&amp;A, capex and tax rate: Nike FY2025 Form 10-K (fiscal year ended May 31, 2025), SEC EDGAR.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Nike Inc: discounted cash flow</t>
        </is>
      </c>
    </row>
    <row r="2">
      <c r="A2" s="2" t="inlineStr">
        <is>
          <t>$ millions, except per-share figures. End-of-year discounting.</t>
        </is>
      </c>
    </row>
    <row r="3">
      <c r="A3" s="13" t="inlineStr">
        <is>
          <t>Line item</t>
        </is>
      </c>
      <c r="B3" s="14" t="inlineStr"/>
      <c r="C3" s="22" t="inlineStr">
        <is>
          <t>FY25</t>
        </is>
      </c>
      <c r="D3" s="14" t="inlineStr">
        <is>
          <t>Year 1</t>
        </is>
      </c>
      <c r="E3" s="14" t="inlineStr">
        <is>
          <t>Year 2</t>
        </is>
      </c>
      <c r="F3" s="14" t="inlineStr">
        <is>
          <t>Year 3</t>
        </is>
      </c>
      <c r="G3" s="14" t="inlineStr">
        <is>
          <t>Year 4</t>
        </is>
      </c>
      <c r="H3" s="14" t="inlineStr">
        <is>
          <t>Year 5</t>
        </is>
      </c>
    </row>
    <row r="5">
      <c r="A5" s="5" t="inlineStr">
        <is>
          <t>Year (t)</t>
        </is>
      </c>
      <c r="C5" s="9" t="n">
        <v>0</v>
      </c>
      <c r="D5" s="23" t="n">
        <v>1</v>
      </c>
      <c r="E5" s="23" t="n">
        <v>2</v>
      </c>
      <c r="F5" s="23" t="n">
        <v>3</v>
      </c>
      <c r="G5" s="23" t="n">
        <v>4</v>
      </c>
      <c r="H5" s="23" t="n">
        <v>5</v>
      </c>
    </row>
    <row r="7">
      <c r="A7" s="5" t="inlineStr">
        <is>
          <t>Revenue growth</t>
        </is>
      </c>
      <c r="D7" s="20">
        <f>Inputs!$B$6+(Inputs!$B$7-Inputs!$B$6)*(D5-1)/MAX(Inputs!$B$20-1,1)</f>
        <v/>
      </c>
      <c r="E7" s="20">
        <f>Inputs!$B$6+(Inputs!$B$7-Inputs!$B$6)*(E5-1)/MAX(Inputs!$B$20-1,1)</f>
        <v/>
      </c>
      <c r="F7" s="20">
        <f>Inputs!$B$6+(Inputs!$B$7-Inputs!$B$6)*(F5-1)/MAX(Inputs!$B$20-1,1)</f>
        <v/>
      </c>
      <c r="G7" s="20">
        <f>Inputs!$B$6+(Inputs!$B$7-Inputs!$B$6)*(G5-1)/MAX(Inputs!$B$20-1,1)</f>
        <v/>
      </c>
      <c r="H7" s="20">
        <f>Inputs!$B$6+(Inputs!$B$7-Inputs!$B$6)*(H5-1)/MAX(Inputs!$B$20-1,1)</f>
        <v/>
      </c>
    </row>
    <row r="8">
      <c r="A8" s="8" t="inlineStr">
        <is>
          <t>Revenue</t>
        </is>
      </c>
      <c r="C8" s="12">
        <f>Inputs!$B$4</f>
        <v/>
      </c>
      <c r="D8" s="24">
        <f>C8*(1+D7)</f>
        <v/>
      </c>
      <c r="E8" s="24">
        <f>D8*(1+E7)</f>
        <v/>
      </c>
      <c r="F8" s="24">
        <f>E8*(1+F7)</f>
        <v/>
      </c>
      <c r="G8" s="24">
        <f>F8*(1+G7)</f>
        <v/>
      </c>
      <c r="H8" s="24">
        <f>G8*(1+H7)</f>
        <v/>
      </c>
    </row>
    <row r="9">
      <c r="A9" s="5" t="inlineStr">
        <is>
          <t>EBITDA margin</t>
        </is>
      </c>
      <c r="D9" s="20">
        <f>Inputs!$B$8+(Inputs!$B$9-Inputs!$B$8)*(D5-1)/MAX(Inputs!$B$20-1,1)</f>
        <v/>
      </c>
      <c r="E9" s="20">
        <f>Inputs!$B$8+(Inputs!$B$9-Inputs!$B$8)*(E5-1)/MAX(Inputs!$B$20-1,1)</f>
        <v/>
      </c>
      <c r="F9" s="20">
        <f>Inputs!$B$8+(Inputs!$B$9-Inputs!$B$8)*(F5-1)/MAX(Inputs!$B$20-1,1)</f>
        <v/>
      </c>
      <c r="G9" s="20">
        <f>Inputs!$B$8+(Inputs!$B$9-Inputs!$B$8)*(G5-1)/MAX(Inputs!$B$20-1,1)</f>
        <v/>
      </c>
      <c r="H9" s="20">
        <f>Inputs!$B$8+(Inputs!$B$9-Inputs!$B$8)*(H5-1)/MAX(Inputs!$B$20-1,1)</f>
        <v/>
      </c>
    </row>
    <row r="10">
      <c r="A10" s="5" t="inlineStr">
        <is>
          <t>EBITDA</t>
        </is>
      </c>
      <c r="D10" s="25">
        <f>D8*D9</f>
        <v/>
      </c>
      <c r="E10" s="25">
        <f>E8*E9</f>
        <v/>
      </c>
      <c r="F10" s="25">
        <f>F8*F9</f>
        <v/>
      </c>
      <c r="G10" s="25">
        <f>G8*G9</f>
        <v/>
      </c>
      <c r="H10" s="25">
        <f>H8*H9</f>
        <v/>
      </c>
    </row>
    <row r="11">
      <c r="A11" s="5" t="inlineStr">
        <is>
          <t>Less D&amp;A</t>
        </is>
      </c>
      <c r="D11" s="25">
        <f>-D8*Inputs!$B$10</f>
        <v/>
      </c>
      <c r="E11" s="25">
        <f>-E8*Inputs!$B$10</f>
        <v/>
      </c>
      <c r="F11" s="25">
        <f>-F8*Inputs!$B$10</f>
        <v/>
      </c>
      <c r="G11" s="25">
        <f>-G8*Inputs!$B$10</f>
        <v/>
      </c>
      <c r="H11" s="25">
        <f>-H8*Inputs!$B$10</f>
        <v/>
      </c>
    </row>
    <row r="12">
      <c r="A12" s="26" t="inlineStr">
        <is>
          <t>EBIT</t>
        </is>
      </c>
      <c r="B12" s="27" t="n"/>
      <c r="C12" s="27" t="n"/>
      <c r="D12" s="28">
        <f>D10+D11</f>
        <v/>
      </c>
      <c r="E12" s="28">
        <f>E10+E11</f>
        <v/>
      </c>
      <c r="F12" s="28">
        <f>F10+F11</f>
        <v/>
      </c>
      <c r="G12" s="28">
        <f>G10+G11</f>
        <v/>
      </c>
      <c r="H12" s="28">
        <f>H10+H11</f>
        <v/>
      </c>
    </row>
    <row r="13">
      <c r="A13" s="5" t="inlineStr">
        <is>
          <t>Less tax on EBIT</t>
        </is>
      </c>
      <c r="D13" s="25">
        <f>-D12*Inputs!$B$13</f>
        <v/>
      </c>
      <c r="E13" s="25">
        <f>-E12*Inputs!$B$13</f>
        <v/>
      </c>
      <c r="F13" s="25">
        <f>-F12*Inputs!$B$13</f>
        <v/>
      </c>
      <c r="G13" s="25">
        <f>-G12*Inputs!$B$13</f>
        <v/>
      </c>
      <c r="H13" s="25">
        <f>-H12*Inputs!$B$13</f>
        <v/>
      </c>
    </row>
    <row r="14">
      <c r="A14" s="5" t="inlineStr">
        <is>
          <t>NOPAT</t>
        </is>
      </c>
      <c r="D14" s="25">
        <f>D12+D13</f>
        <v/>
      </c>
      <c r="E14" s="25">
        <f>E12+E13</f>
        <v/>
      </c>
      <c r="F14" s="25">
        <f>F12+F13</f>
        <v/>
      </c>
      <c r="G14" s="25">
        <f>G12+G13</f>
        <v/>
      </c>
      <c r="H14" s="25">
        <f>H12+H13</f>
        <v/>
      </c>
    </row>
    <row r="15">
      <c r="A15" s="5" t="inlineStr">
        <is>
          <t>Plus D&amp;A</t>
        </is>
      </c>
      <c r="D15" s="25">
        <f>-D11</f>
        <v/>
      </c>
      <c r="E15" s="25">
        <f>-E11</f>
        <v/>
      </c>
      <c r="F15" s="25">
        <f>-F11</f>
        <v/>
      </c>
      <c r="G15" s="25">
        <f>-G11</f>
        <v/>
      </c>
      <c r="H15" s="25">
        <f>-H11</f>
        <v/>
      </c>
    </row>
    <row r="16">
      <c r="A16" s="5" t="inlineStr">
        <is>
          <t>Less capex</t>
        </is>
      </c>
      <c r="D16" s="25">
        <f>-D8*Inputs!$B$11</f>
        <v/>
      </c>
      <c r="E16" s="25">
        <f>-E8*Inputs!$B$11</f>
        <v/>
      </c>
      <c r="F16" s="25">
        <f>-F8*Inputs!$B$11</f>
        <v/>
      </c>
      <c r="G16" s="25">
        <f>-G8*Inputs!$B$11</f>
        <v/>
      </c>
      <c r="H16" s="25">
        <f>-H8*Inputs!$B$11</f>
        <v/>
      </c>
    </row>
    <row r="17">
      <c r="A17" s="5" t="inlineStr">
        <is>
          <t>Less increase in working capital</t>
        </is>
      </c>
      <c r="D17" s="25">
        <f>-(D8-C8)*Inputs!$B$12</f>
        <v/>
      </c>
      <c r="E17" s="25">
        <f>-(E8-D8)*Inputs!$B$12</f>
        <v/>
      </c>
      <c r="F17" s="25">
        <f>-(F8-E8)*Inputs!$B$12</f>
        <v/>
      </c>
      <c r="G17" s="25">
        <f>-(G8-F8)*Inputs!$B$12</f>
        <v/>
      </c>
      <c r="H17" s="25">
        <f>-(H8-G8)*Inputs!$B$12</f>
        <v/>
      </c>
    </row>
    <row r="18">
      <c r="A18" s="26" t="inlineStr">
        <is>
          <t>Unlevered free cash flow</t>
        </is>
      </c>
      <c r="B18" s="27" t="n"/>
      <c r="C18" s="27" t="n"/>
      <c r="D18" s="28">
        <f>D14+D15+D16+D17</f>
        <v/>
      </c>
      <c r="E18" s="28">
        <f>E14+E15+E16+E17</f>
        <v/>
      </c>
      <c r="F18" s="28">
        <f>F14+F15+F16+F17</f>
        <v/>
      </c>
      <c r="G18" s="28">
        <f>G14+G15+G16+G17</f>
        <v/>
      </c>
      <c r="H18" s="28">
        <f>H14+H15+H16+H17</f>
        <v/>
      </c>
    </row>
    <row r="20">
      <c r="A20" s="5" t="inlineStr">
        <is>
          <t>Discount factor = 1 / (1 + WACC)^t</t>
        </is>
      </c>
      <c r="D20" s="29">
        <f>1/(1+Inputs!$B$14)^D5</f>
        <v/>
      </c>
      <c r="E20" s="29">
        <f>1/(1+Inputs!$B$14)^E5</f>
        <v/>
      </c>
      <c r="F20" s="29">
        <f>1/(1+Inputs!$B$14)^F5</f>
        <v/>
      </c>
      <c r="G20" s="29">
        <f>1/(1+Inputs!$B$14)^G5</f>
        <v/>
      </c>
      <c r="H20" s="29">
        <f>1/(1+Inputs!$B$14)^H5</f>
        <v/>
      </c>
    </row>
    <row r="21">
      <c r="A21" s="8" t="inlineStr">
        <is>
          <t>Present value of UFCF</t>
        </is>
      </c>
      <c r="D21" s="24">
        <f>D18*D20</f>
        <v/>
      </c>
      <c r="E21" s="24">
        <f>E18*E20</f>
        <v/>
      </c>
      <c r="F21" s="24">
        <f>F18*F20</f>
        <v/>
      </c>
      <c r="G21" s="24">
        <f>G18*G20</f>
        <v/>
      </c>
      <c r="H21" s="24">
        <f>H18*H20</f>
        <v/>
      </c>
    </row>
    <row r="23">
      <c r="A23" s="13" t="inlineStr">
        <is>
          <t>Valuation</t>
        </is>
      </c>
      <c r="B23" s="14" t="inlineStr"/>
      <c r="C23" s="14" t="inlineStr">
        <is>
          <t>Value</t>
        </is>
      </c>
    </row>
    <row r="24">
      <c r="A24" s="5" t="inlineStr">
        <is>
          <t>Sum of PV of UFCF</t>
        </is>
      </c>
      <c r="C24" s="25">
        <f>SUM(D21:H21)</f>
        <v/>
      </c>
    </row>
    <row r="25">
      <c r="A25" s="5" t="inlineStr">
        <is>
          <t>Final-year UFCF</t>
        </is>
      </c>
      <c r="C25" s="25">
        <f>H18</f>
        <v/>
      </c>
    </row>
    <row r="26">
      <c r="A26" s="5" t="inlineStr">
        <is>
          <t>Terminal value = UFCF x (1 + g) / (WACC - g)</t>
        </is>
      </c>
      <c r="C26" s="12">
        <f>C25*(1+Inputs!$B$15)/(Inputs!$B$14-Inputs!$B$15)</f>
        <v/>
      </c>
    </row>
    <row r="27">
      <c r="A27" s="5" t="inlineStr">
        <is>
          <t>PV of terminal value</t>
        </is>
      </c>
      <c r="C27" s="25">
        <f>C26*H20</f>
        <v/>
      </c>
    </row>
    <row r="28">
      <c r="A28" s="8" t="inlineStr">
        <is>
          <t>Enterprise value</t>
        </is>
      </c>
      <c r="C28" s="24">
        <f>C24+C27</f>
        <v/>
      </c>
    </row>
    <row r="29">
      <c r="A29" s="5" t="inlineStr">
        <is>
          <t>Less net debt (plus net cash)</t>
        </is>
      </c>
      <c r="C29" s="12">
        <f>-Inputs!$B$16</f>
        <v/>
      </c>
    </row>
    <row r="30">
      <c r="A30" s="8" t="inlineStr">
        <is>
          <t>Equity value</t>
        </is>
      </c>
      <c r="C30" s="24">
        <f>C28+C29</f>
        <v/>
      </c>
    </row>
    <row r="31">
      <c r="A31" s="5" t="inlineStr">
        <is>
          <t>Diluted shares (millions)</t>
        </is>
      </c>
      <c r="C31" s="30">
        <f>Inputs!$B$17</f>
        <v/>
      </c>
    </row>
    <row r="32">
      <c r="A32" s="8" t="inlineStr">
        <is>
          <t>Implied value per share</t>
        </is>
      </c>
      <c r="C32" s="31">
        <f>C30/C31</f>
        <v/>
      </c>
    </row>
    <row r="33">
      <c r="A33" s="5" t="inlineStr">
        <is>
          <t>Share price at publish</t>
        </is>
      </c>
      <c r="C33" s="6">
        <f>Inputs!$B$18</f>
        <v/>
      </c>
    </row>
    <row r="34">
      <c r="A34" s="5" t="inlineStr">
        <is>
          <t>Price vs implied value</t>
        </is>
      </c>
      <c r="C34" s="20">
        <f>C33/C32-1</f>
        <v/>
      </c>
    </row>
    <row r="35">
      <c r="A35" s="5" t="inlineStr">
        <is>
          <t>Terminal value share of EV</t>
        </is>
      </c>
      <c r="C35" s="20">
        <f>C27/C28</f>
        <v/>
      </c>
    </row>
    <row r="37">
      <c r="A37" s="32" t="inlineStr">
        <is>
          <t>Check: implied value published on DCF Lab</t>
        </is>
      </c>
      <c r="C37" s="33" t="n">
        <v>43.18</v>
      </c>
    </row>
    <row r="38">
      <c r="A38" s="32" t="inlineStr">
        <is>
          <t>Difference (rounding only)</t>
        </is>
      </c>
      <c r="C38" s="34">
        <f>C32-C37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Nike Inc: implied value per share</t>
        </is>
      </c>
    </row>
    <row r="2">
      <c r="A2" s="2" t="inlineStr">
        <is>
          <t>Rows: WACC. Columns: terminal growth. Centre cell is the base case.</t>
        </is>
      </c>
    </row>
    <row r="4">
      <c r="A4" s="22" t="inlineStr">
        <is>
          <t>WACC \ g</t>
        </is>
      </c>
      <c r="B4" s="35">
        <f>Inputs!$B$15+(-0.01)</f>
        <v/>
      </c>
      <c r="C4" s="35">
        <f>Inputs!$B$15+(-0.005)</f>
        <v/>
      </c>
      <c r="D4" s="35">
        <f>Inputs!$B$15+(0)</f>
        <v/>
      </c>
      <c r="E4" s="35">
        <f>Inputs!$B$15+(0.005)</f>
        <v/>
      </c>
      <c r="F4" s="35">
        <f>Inputs!$B$15+(0.01)</f>
        <v/>
      </c>
    </row>
    <row r="5">
      <c r="A5" s="36">
        <f>Inputs!$B$14+(-0.02)</f>
        <v/>
      </c>
      <c r="B5" s="37">
        <f>(SUMPRODUCT(DCF!$D$18:$H$18/(1+$A5)^DCF!$D$5:$H$5)+DCF!$H$18*(1+B$4)/($A5-B$4)/(1+$A5)^Inputs!$B$20-Inputs!$B$16)/Inputs!$B$17</f>
        <v/>
      </c>
      <c r="C5" s="37">
        <f>(SUMPRODUCT(DCF!$D$18:$H$18/(1+$A5)^DCF!$D$5:$H$5)+DCF!$H$18*(1+C$4)/($A5-C$4)/(1+$A5)^Inputs!$B$20-Inputs!$B$16)/Inputs!$B$17</f>
        <v/>
      </c>
      <c r="D5" s="37">
        <f>(SUMPRODUCT(DCF!$D$18:$H$18/(1+$A5)^DCF!$D$5:$H$5)+DCF!$H$18*(1+D$4)/($A5-D$4)/(1+$A5)^Inputs!$B$20-Inputs!$B$16)/Inputs!$B$17</f>
        <v/>
      </c>
      <c r="E5" s="37">
        <f>(SUMPRODUCT(DCF!$D$18:$H$18/(1+$A5)^DCF!$D$5:$H$5)+DCF!$H$18*(1+E$4)/($A5-E$4)/(1+$A5)^Inputs!$B$20-Inputs!$B$16)/Inputs!$B$17</f>
        <v/>
      </c>
      <c r="F5" s="37">
        <f>(SUMPRODUCT(DCF!$D$18:$H$18/(1+$A5)^DCF!$D$5:$H$5)+DCF!$H$18*(1+F$4)/($A5-F$4)/(1+$A5)^Inputs!$B$20-Inputs!$B$16)/Inputs!$B$17</f>
        <v/>
      </c>
    </row>
    <row r="6">
      <c r="A6" s="36">
        <f>Inputs!$B$14+(-0.01)</f>
        <v/>
      </c>
      <c r="B6" s="37">
        <f>(SUMPRODUCT(DCF!$D$18:$H$18/(1+$A6)^DCF!$D$5:$H$5)+DCF!$H$18*(1+B$4)/($A6-B$4)/(1+$A6)^Inputs!$B$20-Inputs!$B$16)/Inputs!$B$17</f>
        <v/>
      </c>
      <c r="C6" s="37">
        <f>(SUMPRODUCT(DCF!$D$18:$H$18/(1+$A6)^DCF!$D$5:$H$5)+DCF!$H$18*(1+C$4)/($A6-C$4)/(1+$A6)^Inputs!$B$20-Inputs!$B$16)/Inputs!$B$17</f>
        <v/>
      </c>
      <c r="D6" s="37">
        <f>(SUMPRODUCT(DCF!$D$18:$H$18/(1+$A6)^DCF!$D$5:$H$5)+DCF!$H$18*(1+D$4)/($A6-D$4)/(1+$A6)^Inputs!$B$20-Inputs!$B$16)/Inputs!$B$17</f>
        <v/>
      </c>
      <c r="E6" s="37">
        <f>(SUMPRODUCT(DCF!$D$18:$H$18/(1+$A6)^DCF!$D$5:$H$5)+DCF!$H$18*(1+E$4)/($A6-E$4)/(1+$A6)^Inputs!$B$20-Inputs!$B$16)/Inputs!$B$17</f>
        <v/>
      </c>
      <c r="F6" s="37">
        <f>(SUMPRODUCT(DCF!$D$18:$H$18/(1+$A6)^DCF!$D$5:$H$5)+DCF!$H$18*(1+F$4)/($A6-F$4)/(1+$A6)^Inputs!$B$20-Inputs!$B$16)/Inputs!$B$17</f>
        <v/>
      </c>
    </row>
    <row r="7">
      <c r="A7" s="36">
        <f>Inputs!$B$14+(0)</f>
        <v/>
      </c>
      <c r="B7" s="37">
        <f>(SUMPRODUCT(DCF!$D$18:$H$18/(1+$A7)^DCF!$D$5:$H$5)+DCF!$H$18*(1+B$4)/($A7-B$4)/(1+$A7)^Inputs!$B$20-Inputs!$B$16)/Inputs!$B$17</f>
        <v/>
      </c>
      <c r="C7" s="37">
        <f>(SUMPRODUCT(DCF!$D$18:$H$18/(1+$A7)^DCF!$D$5:$H$5)+DCF!$H$18*(1+C$4)/($A7-C$4)/(1+$A7)^Inputs!$B$20-Inputs!$B$16)/Inputs!$B$17</f>
        <v/>
      </c>
      <c r="D7" s="31">
        <f>(SUMPRODUCT(DCF!$D$18:$H$18/(1+$A7)^DCF!$D$5:$H$5)+DCF!$H$18*(1+D$4)/($A7-D$4)/(1+$A7)^Inputs!$B$20-Inputs!$B$16)/Inputs!$B$17</f>
        <v/>
      </c>
      <c r="E7" s="37">
        <f>(SUMPRODUCT(DCF!$D$18:$H$18/(1+$A7)^DCF!$D$5:$H$5)+DCF!$H$18*(1+E$4)/($A7-E$4)/(1+$A7)^Inputs!$B$20-Inputs!$B$16)/Inputs!$B$17</f>
        <v/>
      </c>
      <c r="F7" s="37">
        <f>(SUMPRODUCT(DCF!$D$18:$H$18/(1+$A7)^DCF!$D$5:$H$5)+DCF!$H$18*(1+F$4)/($A7-F$4)/(1+$A7)^Inputs!$B$20-Inputs!$B$16)/Inputs!$B$17</f>
        <v/>
      </c>
    </row>
    <row r="8">
      <c r="A8" s="36">
        <f>Inputs!$B$14+(0.01)</f>
        <v/>
      </c>
      <c r="B8" s="37">
        <f>(SUMPRODUCT(DCF!$D$18:$H$18/(1+$A8)^DCF!$D$5:$H$5)+DCF!$H$18*(1+B$4)/($A8-B$4)/(1+$A8)^Inputs!$B$20-Inputs!$B$16)/Inputs!$B$17</f>
        <v/>
      </c>
      <c r="C8" s="37">
        <f>(SUMPRODUCT(DCF!$D$18:$H$18/(1+$A8)^DCF!$D$5:$H$5)+DCF!$H$18*(1+C$4)/($A8-C$4)/(1+$A8)^Inputs!$B$20-Inputs!$B$16)/Inputs!$B$17</f>
        <v/>
      </c>
      <c r="D8" s="37">
        <f>(SUMPRODUCT(DCF!$D$18:$H$18/(1+$A8)^DCF!$D$5:$H$5)+DCF!$H$18*(1+D$4)/($A8-D$4)/(1+$A8)^Inputs!$B$20-Inputs!$B$16)/Inputs!$B$17</f>
        <v/>
      </c>
      <c r="E8" s="37">
        <f>(SUMPRODUCT(DCF!$D$18:$H$18/(1+$A8)^DCF!$D$5:$H$5)+DCF!$H$18*(1+E$4)/($A8-E$4)/(1+$A8)^Inputs!$B$20-Inputs!$B$16)/Inputs!$B$17</f>
        <v/>
      </c>
      <c r="F8" s="37">
        <f>(SUMPRODUCT(DCF!$D$18:$H$18/(1+$A8)^DCF!$D$5:$H$5)+DCF!$H$18*(1+F$4)/($A8-F$4)/(1+$A8)^Inputs!$B$20-Inputs!$B$16)/Inputs!$B$17</f>
        <v/>
      </c>
    </row>
    <row r="9">
      <c r="A9" s="36">
        <f>Inputs!$B$14+(0.02)</f>
        <v/>
      </c>
      <c r="B9" s="37">
        <f>(SUMPRODUCT(DCF!$D$18:$H$18/(1+$A9)^DCF!$D$5:$H$5)+DCF!$H$18*(1+B$4)/($A9-B$4)/(1+$A9)^Inputs!$B$20-Inputs!$B$16)/Inputs!$B$17</f>
        <v/>
      </c>
      <c r="C9" s="37">
        <f>(SUMPRODUCT(DCF!$D$18:$H$18/(1+$A9)^DCF!$D$5:$H$5)+DCF!$H$18*(1+C$4)/($A9-C$4)/(1+$A9)^Inputs!$B$20-Inputs!$B$16)/Inputs!$B$17</f>
        <v/>
      </c>
      <c r="D9" s="37">
        <f>(SUMPRODUCT(DCF!$D$18:$H$18/(1+$A9)^DCF!$D$5:$H$5)+DCF!$H$18*(1+D$4)/($A9-D$4)/(1+$A9)^Inputs!$B$20-Inputs!$B$16)/Inputs!$B$17</f>
        <v/>
      </c>
      <c r="E9" s="37">
        <f>(SUMPRODUCT(DCF!$D$18:$H$18/(1+$A9)^DCF!$D$5:$H$5)+DCF!$H$18*(1+E$4)/($A9-E$4)/(1+$A9)^Inputs!$B$20-Inputs!$B$16)/Inputs!$B$17</f>
        <v/>
      </c>
      <c r="F9" s="37">
        <f>(SUMPRODUCT(DCF!$D$18:$H$18/(1+$A9)^DCF!$D$5:$H$5)+DCF!$H$18*(1+F$4)/($A9-F$4)/(1+$A9)^Inputs!$B$20-Inputs!$B$16)/Inputs!$B$17</f>
        <v/>
      </c>
    </row>
    <row r="11">
      <c r="A11" s="2" t="inlineStr">
        <is>
          <t>Each cell recomputes the full DCF at that WACC and terminal growth: PV of the UFCF row plus PV of the terminal value, less net debt, over diluted shares.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2026-10-20T09:11:18Z</dcterms:created>
  <dcterms:modified xsi:type="dcterms:W3CDTF">2026-10-20T09:11:18Z</dcterms:modified>
</cp:coreProperties>
</file>